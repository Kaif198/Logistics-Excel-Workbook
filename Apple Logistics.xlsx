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f Ahmed\Desktop\"/>
    </mc:Choice>
  </mc:AlternateContent>
  <xr:revisionPtr revIDLastSave="0" documentId="13_ncr:1_{1EBCE895-5C4A-4406-83D3-D4E394541B49}" xr6:coauthVersionLast="47" xr6:coauthVersionMax="47" xr10:uidLastSave="{00000000-0000-0000-0000-000000000000}"/>
  <bookViews>
    <workbookView xWindow="-108" yWindow="-108" windowWidth="23256" windowHeight="12456" firstSheet="1" activeTab="3" xr2:uid="{89F7D197-AE64-465F-BCC6-CC1EA69EDFF2}"/>
  </bookViews>
  <sheets>
    <sheet name="Dashboard" sheetId="2" r:id="rId1"/>
    <sheet name="Shipments Tracker" sheetId="1" r:id="rId2"/>
    <sheet name="Origin Execution" sheetId="3" r:id="rId3"/>
    <sheet name="Destination Management" sheetId="4" r:id="rId4"/>
    <sheet name="Final Mile &amp; Escalations" sheetId="5" r:id="rId5"/>
    <sheet name="Carrier Performance" sheetId="6" r:id="rId6"/>
    <sheet name="Quality &amp; Loss Damage" sheetId="7" r:id="rId7"/>
    <sheet name="Green Efficiency" sheetId="8" r:id="rId8"/>
    <sheet name="Reports &amp; KP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F54" i="9"/>
  <c r="D54" i="9"/>
  <c r="B54" i="9"/>
  <c r="D50" i="9"/>
  <c r="B50" i="9"/>
  <c r="B49" i="9"/>
  <c r="D45" i="9"/>
  <c r="B45" i="9"/>
  <c r="D44" i="9"/>
  <c r="B44" i="9"/>
  <c r="B40" i="9"/>
  <c r="B39" i="9"/>
  <c r="B38" i="9"/>
  <c r="B37" i="9"/>
  <c r="F29" i="9"/>
  <c r="D29" i="9"/>
  <c r="B29" i="9"/>
  <c r="D25" i="9"/>
  <c r="B25" i="9"/>
  <c r="B24" i="9"/>
  <c r="D20" i="9"/>
  <c r="B20" i="9"/>
  <c r="D19" i="9"/>
  <c r="B19" i="9"/>
  <c r="B15" i="9"/>
  <c r="B14" i="9"/>
  <c r="B13" i="9"/>
  <c r="B12" i="9"/>
  <c r="A9" i="9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C23" i="8"/>
  <c r="D16" i="8"/>
  <c r="C16" i="8"/>
  <c r="B16" i="8"/>
  <c r="C11" i="8"/>
  <c r="A11" i="8"/>
  <c r="D26" i="7" a="1"/>
  <c r="D26" i="7" s="1"/>
  <c r="C26" i="7" a="1"/>
  <c r="C26" i="7" s="1"/>
  <c r="B26" i="7" a="1"/>
  <c r="B26" i="7" s="1"/>
  <c r="A26" i="7" a="1"/>
  <c r="A26" i="7" s="1"/>
  <c r="B20" i="7"/>
  <c r="B19" i="7"/>
  <c r="B18" i="7"/>
  <c r="B17" i="7"/>
  <c r="B16" i="7"/>
  <c r="C11" i="7"/>
  <c r="A11" i="7"/>
  <c r="I18" i="6"/>
  <c r="G18" i="6"/>
  <c r="E18" i="6"/>
  <c r="B18" i="6"/>
  <c r="I11" i="6"/>
  <c r="G11" i="6"/>
  <c r="E11" i="6"/>
  <c r="B11" i="6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65" i="5"/>
  <c r="F16" i="5" a="1"/>
  <c r="F16" i="5" s="1"/>
  <c r="D16" i="5" a="1"/>
  <c r="C16" i="5" a="1"/>
  <c r="C16" i="5" s="1"/>
  <c r="B16" i="5" a="1"/>
  <c r="B16" i="5" s="1"/>
  <c r="A16" i="5" a="1"/>
  <c r="A16" i="5" s="1"/>
  <c r="G11" i="5"/>
  <c r="E11" i="5"/>
  <c r="C11" i="5"/>
  <c r="A11" i="5"/>
  <c r="H16" i="3" a="1"/>
  <c r="H16" i="3" s="1"/>
  <c r="G16" i="3" a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A16" i="3" a="1"/>
  <c r="A16" i="3" s="1"/>
  <c r="G11" i="3"/>
  <c r="E11" i="3"/>
  <c r="C11" i="3"/>
  <c r="A11" i="3"/>
  <c r="A3" i="9"/>
  <c r="A3" i="8"/>
  <c r="A3" i="7"/>
  <c r="A3" i="6"/>
  <c r="A3" i="5"/>
  <c r="A3" i="4"/>
  <c r="A3" i="3"/>
  <c r="J34" i="2"/>
  <c r="J33" i="2"/>
  <c r="J32" i="2"/>
  <c r="J31" i="2"/>
  <c r="J30" i="2"/>
  <c r="J29" i="2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K13" i="2"/>
  <c r="K12" i="2"/>
  <c r="D13" i="2"/>
  <c r="D12" i="2"/>
  <c r="A13" i="2"/>
  <c r="A12" i="2"/>
  <c r="G9" i="2"/>
  <c r="G8" i="2"/>
  <c r="A3" i="2"/>
  <c r="X6" i="1"/>
  <c r="E17" i="8" s="1"/>
  <c r="X7" i="1"/>
  <c r="X8" i="1"/>
  <c r="E19" i="8" s="1"/>
  <c r="X9" i="1"/>
  <c r="X10" i="1"/>
  <c r="E18" i="8" s="1"/>
  <c r="X11" i="1"/>
  <c r="X12" i="1"/>
  <c r="E20" i="8" s="1"/>
  <c r="X13" i="1"/>
  <c r="X14" i="1"/>
  <c r="E21" i="8" s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T6" i="1"/>
  <c r="T7" i="1"/>
  <c r="T8" i="1"/>
  <c r="T9" i="1"/>
  <c r="T10" i="1"/>
  <c r="T11" i="1"/>
  <c r="T12" i="1"/>
  <c r="T13" i="1"/>
  <c r="T14" i="1"/>
  <c r="E26" i="7" s="1" a="1"/>
  <c r="E26" i="7" s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L34" i="2" s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L33" i="2" s="1"/>
  <c r="T104" i="1"/>
  <c r="L32" i="2" s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L31" i="2" s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L30" i="2" s="1"/>
  <c r="T151" i="1"/>
  <c r="T152" i="1"/>
  <c r="T153" i="1"/>
  <c r="T154" i="1"/>
  <c r="S6" i="1"/>
  <c r="K30" i="2" s="1"/>
  <c r="S7" i="1"/>
  <c r="S8" i="1"/>
  <c r="K32" i="2" s="1"/>
  <c r="S9" i="1"/>
  <c r="S10" i="1"/>
  <c r="K31" i="2" s="1"/>
  <c r="S11" i="1"/>
  <c r="S12" i="1"/>
  <c r="K33" i="2" s="1"/>
  <c r="S13" i="1"/>
  <c r="S14" i="1"/>
  <c r="K34" i="2" s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W5" i="1"/>
  <c r="V5" i="1"/>
  <c r="U5" i="1"/>
  <c r="T5" i="1"/>
  <c r="S5" i="1"/>
  <c r="B32" i="8" l="1"/>
  <c r="D32" i="8" s="1"/>
  <c r="E32" i="8" s="1"/>
  <c r="F21" i="8"/>
  <c r="F20" i="8"/>
  <c r="B31" i="8"/>
  <c r="D31" i="8" s="1"/>
  <c r="E31" i="8" s="1"/>
  <c r="F19" i="8"/>
  <c r="B30" i="8"/>
  <c r="D30" i="8" s="1"/>
  <c r="E30" i="8" s="1"/>
  <c r="B29" i="8"/>
  <c r="F18" i="8"/>
  <c r="B28" i="8"/>
  <c r="F17" i="8"/>
  <c r="B27" i="8"/>
  <c r="B36" i="8" s="1"/>
  <c r="F16" i="8"/>
  <c r="D16" i="5"/>
  <c r="E16" i="5" s="1"/>
  <c r="E44" i="5"/>
  <c r="E45" i="5"/>
  <c r="E46" i="5"/>
  <c r="E60" i="5"/>
  <c r="E59" i="5"/>
  <c r="E58" i="5"/>
  <c r="E51" i="5"/>
  <c r="E48" i="5"/>
  <c r="E52" i="5"/>
  <c r="E43" i="5"/>
  <c r="E47" i="5"/>
  <c r="E49" i="5"/>
  <c r="E63" i="5"/>
  <c r="E56" i="5"/>
  <c r="E55" i="5"/>
  <c r="E57" i="5"/>
  <c r="E39" i="5"/>
  <c r="E40" i="5"/>
  <c r="E54" i="5"/>
  <c r="E41" i="5"/>
  <c r="E42" i="5"/>
  <c r="E53" i="5"/>
  <c r="E61" i="5"/>
  <c r="E50" i="5"/>
  <c r="E62" i="5"/>
  <c r="E64" i="5"/>
  <c r="G16" i="3"/>
  <c r="I16" i="3" s="1"/>
  <c r="I20" i="3"/>
  <c r="I19" i="3"/>
  <c r="I18" i="3"/>
  <c r="I17" i="3"/>
  <c r="E11" i="4"/>
  <c r="C11" i="4"/>
  <c r="A11" i="4"/>
  <c r="B48" i="9"/>
  <c r="D48" i="9"/>
  <c r="B23" i="9"/>
  <c r="D23" i="9"/>
  <c r="G12" i="2"/>
  <c r="G16" i="4" a="1"/>
  <c r="G16" i="4" s="1"/>
  <c r="F16" i="4" a="1"/>
  <c r="F16" i="4" s="1"/>
  <c r="E16" i="4" a="1"/>
  <c r="E16" i="4" s="1"/>
  <c r="D16" i="4" a="1"/>
  <c r="D16" i="4" s="1"/>
  <c r="C16" i="4" a="1"/>
  <c r="C16" i="4" s="1"/>
  <c r="B16" i="4" a="1"/>
  <c r="B16" i="4" s="1"/>
  <c r="A16" i="4" a="1"/>
  <c r="A16" i="4" s="1"/>
  <c r="G13" i="2"/>
  <c r="E18" i="2" a="1"/>
  <c r="E18" i="2" s="1"/>
  <c r="A18" i="2" a="1"/>
  <c r="A18" i="2" s="1"/>
  <c r="G16" i="5" a="1"/>
  <c r="G16" i="5" s="1"/>
  <c r="B43" i="9"/>
  <c r="E29" i="9"/>
  <c r="D18" i="9"/>
  <c r="B18" i="9"/>
  <c r="F22" i="2" a="1"/>
  <c r="F22" i="2" s="1"/>
  <c r="D22" i="2" a="1"/>
  <c r="D22" i="2" s="1"/>
  <c r="D18" i="2" a="1"/>
  <c r="D18" i="2" s="1"/>
  <c r="D8" i="2"/>
  <c r="F18" i="6"/>
  <c r="L29" i="2"/>
  <c r="F11" i="6"/>
  <c r="G18" i="2" a="1"/>
  <c r="G18" i="2" s="1"/>
  <c r="B18" i="2" a="1"/>
  <c r="B18" i="2" s="1"/>
  <c r="D9" i="2"/>
  <c r="A22" i="2" a="1"/>
  <c r="A22" i="2" s="1"/>
  <c r="E54" i="9"/>
  <c r="D43" i="9"/>
  <c r="G22" i="2" a="1"/>
  <c r="G22" i="2" s="1"/>
  <c r="E22" i="2" a="1"/>
  <c r="E22" i="2" s="1"/>
  <c r="C22" i="2" a="1"/>
  <c r="C22" i="2" s="1"/>
  <c r="F18" i="2" a="1"/>
  <c r="F18" i="2" s="1"/>
  <c r="C18" i="2" a="1"/>
  <c r="C18" i="2" s="1"/>
  <c r="B22" i="2" a="1"/>
  <c r="B22" i="2" s="1"/>
  <c r="X5" i="1"/>
  <c r="K29" i="2"/>
  <c r="D14" i="9"/>
  <c r="D12" i="9"/>
  <c r="D13" i="9"/>
  <c r="C29" i="9"/>
  <c r="G29" i="9" s="1"/>
  <c r="D37" i="9"/>
  <c r="D38" i="9"/>
  <c r="D39" i="9"/>
  <c r="C54" i="9"/>
  <c r="G54" i="9" s="1"/>
  <c r="A9" i="2"/>
  <c r="C11" i="6"/>
  <c r="J11" i="6" s="1"/>
  <c r="D11" i="6"/>
  <c r="C18" i="6"/>
  <c r="J18" i="6" s="1"/>
  <c r="D18" i="6"/>
  <c r="A8" i="2"/>
  <c r="D40" i="9"/>
  <c r="D15" i="9"/>
  <c r="B21" i="7"/>
  <c r="D27" i="8" l="1"/>
  <c r="K8" i="2"/>
  <c r="K9" i="2"/>
  <c r="H11" i="6"/>
  <c r="H18" i="6"/>
  <c r="E11" i="8"/>
  <c r="E16" i="8"/>
  <c r="E23" i="8"/>
  <c r="D24" i="9"/>
  <c r="D49" i="9"/>
  <c r="D29" i="8"/>
  <c r="E29" i="8" s="1"/>
  <c r="F28" i="8"/>
  <c r="D28" i="8"/>
  <c r="E28" i="8"/>
  <c r="C21" i="7"/>
  <c r="C20" i="7"/>
  <c r="C19" i="7"/>
  <c r="C18" i="7"/>
  <c r="C17" i="7"/>
  <c r="C16" i="7"/>
  <c r="D16" i="7" s="1"/>
  <c r="B37" i="8" l="1"/>
  <c r="E27" i="8"/>
  <c r="B38" i="8" s="1"/>
  <c r="B39" i="8" s="1"/>
  <c r="D17" i="7"/>
  <c r="D18" i="7" s="1"/>
  <c r="D19" i="7" s="1"/>
  <c r="D20" i="7" s="1"/>
  <c r="D21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<sst xmlns="http://schemas.openxmlformats.org/spreadsheetml/2006/main" count="1379" uniqueCount="466">
  <si>
    <t>Shipment ID</t>
  </si>
  <si>
    <t>Origin</t>
  </si>
  <si>
    <t>Status</t>
  </si>
  <si>
    <t>ETD</t>
  </si>
  <si>
    <t>ETG</t>
  </si>
  <si>
    <t>ETA</t>
  </si>
  <si>
    <t>ATD</t>
  </si>
  <si>
    <t>ATG</t>
  </si>
  <si>
    <t>ATA</t>
  </si>
  <si>
    <t>Carrier</t>
  </si>
  <si>
    <t>Flight/Vessel</t>
  </si>
  <si>
    <t>Allocation Type</t>
  </si>
  <si>
    <t>Final Mile SLA (hours)</t>
  </si>
  <si>
    <t>Damage Flag</t>
  </si>
  <si>
    <t>Damage Reason</t>
  </si>
  <si>
    <t>CO₂ Estimate (kg)</t>
  </si>
  <si>
    <t>Risk Score</t>
  </si>
  <si>
    <t>Last Updated</t>
  </si>
  <si>
    <t>SH-20260401-1000</t>
  </si>
  <si>
    <t>Compal</t>
  </si>
  <si>
    <t>Delivered</t>
  </si>
  <si>
    <t>DHL</t>
  </si>
  <si>
    <t>Vessel-716</t>
  </si>
  <si>
    <t>Finished Goods</t>
  </si>
  <si>
    <t>No</t>
  </si>
  <si>
    <t>SH-20260402-1001</t>
  </si>
  <si>
    <t>UPS</t>
  </si>
  <si>
    <t>Vessel-199</t>
  </si>
  <si>
    <t>AppleCare</t>
  </si>
  <si>
    <t>SH-20260403-1002</t>
  </si>
  <si>
    <t>Wistron</t>
  </si>
  <si>
    <t>Vessel-396</t>
  </si>
  <si>
    <t>SH-20260404-1003</t>
  </si>
  <si>
    <t>Foxconn</t>
  </si>
  <si>
    <t>Kuehne+Nagel</t>
  </si>
  <si>
    <t>Vessel-573</t>
  </si>
  <si>
    <t>SH-20260405-1004</t>
  </si>
  <si>
    <t>Vessel-611</t>
  </si>
  <si>
    <t>SH-20260406-1005</t>
  </si>
  <si>
    <t>Luxshare</t>
  </si>
  <si>
    <t>FedEx</t>
  </si>
  <si>
    <t>Vessel-263</t>
  </si>
  <si>
    <t>SH-20260407-1006</t>
  </si>
  <si>
    <t>Vessel-103</t>
  </si>
  <si>
    <t>SH-20260408-1007</t>
  </si>
  <si>
    <t>DB Schenker</t>
  </si>
  <si>
    <t>QR119</t>
  </si>
  <si>
    <t>SH-20260409-1008</t>
  </si>
  <si>
    <t>EK652</t>
  </si>
  <si>
    <t>SH-20260410-1009</t>
  </si>
  <si>
    <t>Maersk</t>
  </si>
  <si>
    <t>Vessel-746</t>
  </si>
  <si>
    <t>Yes</t>
  </si>
  <si>
    <t>Label Issue</t>
  </si>
  <si>
    <t>SH-20260411-1010</t>
  </si>
  <si>
    <t>SH-20260412-1011</t>
  </si>
  <si>
    <t>Vessel-177</t>
  </si>
  <si>
    <t>SH-20260413-1012</t>
  </si>
  <si>
    <t>BYD</t>
  </si>
  <si>
    <t>Vessel-499</t>
  </si>
  <si>
    <t>SH-20260414-1013</t>
  </si>
  <si>
    <t>BA261</t>
  </si>
  <si>
    <t>SH-20260415-1014</t>
  </si>
  <si>
    <t>Pegatron</t>
  </si>
  <si>
    <t>Vessel-367</t>
  </si>
  <si>
    <t>SH-20260416-1015</t>
  </si>
  <si>
    <t>Vessel-457</t>
  </si>
  <si>
    <t>SH-20260417-1016</t>
  </si>
  <si>
    <t>Vessel-451</t>
  </si>
  <si>
    <t>SH-20260418-1017</t>
  </si>
  <si>
    <t>QR674</t>
  </si>
  <si>
    <t>SH-20260419-1018</t>
  </si>
  <si>
    <t>Vessel-898</t>
  </si>
  <si>
    <t>SH-20260420-1019</t>
  </si>
  <si>
    <t>LH263</t>
  </si>
  <si>
    <t>SH-20260421-1020</t>
  </si>
  <si>
    <t>Vessel-621</t>
  </si>
  <si>
    <t>SH-20260422-1021</t>
  </si>
  <si>
    <t>Vessel-690</t>
  </si>
  <si>
    <t>SH-20260423-1022</t>
  </si>
  <si>
    <t>QR813</t>
  </si>
  <si>
    <t>SH-20260424-1023</t>
  </si>
  <si>
    <t>BA584</t>
  </si>
  <si>
    <t>SH-20260425-1024</t>
  </si>
  <si>
    <t>BA299</t>
  </si>
  <si>
    <t>Handling Error</t>
  </si>
  <si>
    <t>SH-20260426-1025</t>
  </si>
  <si>
    <t>Vessel-575</t>
  </si>
  <si>
    <t>SH-20260427-1026</t>
  </si>
  <si>
    <t>Vessel-550</t>
  </si>
  <si>
    <t>SH-20260428-1027</t>
  </si>
  <si>
    <t>Vessel-952</t>
  </si>
  <si>
    <t>SH-20260429-1028</t>
  </si>
  <si>
    <t>In Transit</t>
  </si>
  <si>
    <t>LH546</t>
  </si>
  <si>
    <t>SH-20260430-1029</t>
  </si>
  <si>
    <t>Exception</t>
  </si>
  <si>
    <t>Vessel-435</t>
  </si>
  <si>
    <t>SH-20260401-1030</t>
  </si>
  <si>
    <t>Vessel-120</t>
  </si>
  <si>
    <t>SH-20260402-1031</t>
  </si>
  <si>
    <t>LH689</t>
  </si>
  <si>
    <t>SH-20260403-1032</t>
  </si>
  <si>
    <t>Vessel-618</t>
  </si>
  <si>
    <t>SH-20260404-1033</t>
  </si>
  <si>
    <t>BA374</t>
  </si>
  <si>
    <t>SH-20260405-1034</t>
  </si>
  <si>
    <t>LH669</t>
  </si>
  <si>
    <t>SH-20260406-1035</t>
  </si>
  <si>
    <t>QR666</t>
  </si>
  <si>
    <t>SH-20260407-1036</t>
  </si>
  <si>
    <t>Vessel-856</t>
  </si>
  <si>
    <t>SH-20260408-1037</t>
  </si>
  <si>
    <t>EK753</t>
  </si>
  <si>
    <t>SH-20260409-1038</t>
  </si>
  <si>
    <t>CX255</t>
  </si>
  <si>
    <t>SH-20260410-1039</t>
  </si>
  <si>
    <t>CX881</t>
  </si>
  <si>
    <t>SH-20260411-1040</t>
  </si>
  <si>
    <t>Vessel-339</t>
  </si>
  <si>
    <t>Transit Shock</t>
  </si>
  <si>
    <t>SH-20260412-1041</t>
  </si>
  <si>
    <t>QR805</t>
  </si>
  <si>
    <t>SH-20260413-1042</t>
  </si>
  <si>
    <t>LH690</t>
  </si>
  <si>
    <t>SH-20260414-1043</t>
  </si>
  <si>
    <t>At FF</t>
  </si>
  <si>
    <t>Vessel-510</t>
  </si>
  <si>
    <t>SH-20260415-1044</t>
  </si>
  <si>
    <t>QR740</t>
  </si>
  <si>
    <t>SH-20260416-1045</t>
  </si>
  <si>
    <t>Delayed</t>
  </si>
  <si>
    <t>Vessel-961</t>
  </si>
  <si>
    <t>SH-20260417-1046</t>
  </si>
  <si>
    <t>CX382</t>
  </si>
  <si>
    <t>SH-20260418-1047</t>
  </si>
  <si>
    <t>EK685</t>
  </si>
  <si>
    <t>SH-20260419-1048</t>
  </si>
  <si>
    <t>Vessel-567</t>
  </si>
  <si>
    <t>SH-20260420-1049</t>
  </si>
  <si>
    <t>BA136</t>
  </si>
  <si>
    <t>SH-20260421-1050</t>
  </si>
  <si>
    <t>Vessel-643</t>
  </si>
  <si>
    <t>Packaging Damage</t>
  </si>
  <si>
    <t>SH-20260422-1051</t>
  </si>
  <si>
    <t>SH-20260423-1052</t>
  </si>
  <si>
    <t>OTG</t>
  </si>
  <si>
    <t>Vessel-108</t>
  </si>
  <si>
    <t>SH-20260424-1053</t>
  </si>
  <si>
    <t>CX742</t>
  </si>
  <si>
    <t>SH-20260425-1054</t>
  </si>
  <si>
    <t>LH944</t>
  </si>
  <si>
    <t>SH-20260426-1055</t>
  </si>
  <si>
    <t>At Airline</t>
  </si>
  <si>
    <t>QR477</t>
  </si>
  <si>
    <t>SH-20260427-1056</t>
  </si>
  <si>
    <t>EK146</t>
  </si>
  <si>
    <t>Water Damage</t>
  </si>
  <si>
    <t>SH-20260428-1057</t>
  </si>
  <si>
    <t>LH133</t>
  </si>
  <si>
    <t>SH-20260429-1058</t>
  </si>
  <si>
    <t>CX905</t>
  </si>
  <si>
    <t>SH-20260430-1059</t>
  </si>
  <si>
    <t>CX776</t>
  </si>
  <si>
    <t>SH-20260401-1060</t>
  </si>
  <si>
    <t>EK729</t>
  </si>
  <si>
    <t>SH-20260402-1061</t>
  </si>
  <si>
    <t>Vessel-381</t>
  </si>
  <si>
    <t>SH-20260403-1062</t>
  </si>
  <si>
    <t>EK523</t>
  </si>
  <si>
    <t>SH-20260404-1063</t>
  </si>
  <si>
    <t>LH931</t>
  </si>
  <si>
    <t>SH-20260405-1064</t>
  </si>
  <si>
    <t>CX458</t>
  </si>
  <si>
    <t>SH-20260406-1065</t>
  </si>
  <si>
    <t>QR171</t>
  </si>
  <si>
    <t>SH-20260407-1066</t>
  </si>
  <si>
    <t>CX790</t>
  </si>
  <si>
    <t>SH-20260408-1067</t>
  </si>
  <si>
    <t>Vessel-713</t>
  </si>
  <si>
    <t>SH-20260409-1068</t>
  </si>
  <si>
    <t>Vessel-982</t>
  </si>
  <si>
    <t>SH-20260410-1069</t>
  </si>
  <si>
    <t>CX547</t>
  </si>
  <si>
    <t>SH-20260411-1070</t>
  </si>
  <si>
    <t>EK341</t>
  </si>
  <si>
    <t>SH-20260412-1071</t>
  </si>
  <si>
    <t>LH984</t>
  </si>
  <si>
    <t>SH-20260413-1072</t>
  </si>
  <si>
    <t>CX729</t>
  </si>
  <si>
    <t>SH-20260414-1073</t>
  </si>
  <si>
    <t>Vessel-824</t>
  </si>
  <si>
    <t>SH-20260415-1074</t>
  </si>
  <si>
    <t>LH358</t>
  </si>
  <si>
    <t>SH-20260416-1075</t>
  </si>
  <si>
    <t>BA195</t>
  </si>
  <si>
    <t>SH-20260417-1076</t>
  </si>
  <si>
    <t>BA138</t>
  </si>
  <si>
    <t>SH-20260418-1077</t>
  </si>
  <si>
    <t>EK646</t>
  </si>
  <si>
    <t>SH-20260419-1078</t>
  </si>
  <si>
    <t>BA205</t>
  </si>
  <si>
    <t>SH-20260420-1079</t>
  </si>
  <si>
    <t>QR614</t>
  </si>
  <si>
    <t>SH-20260421-1080</t>
  </si>
  <si>
    <t>CX181</t>
  </si>
  <si>
    <t>SH-20260422-1081</t>
  </si>
  <si>
    <t>CX747</t>
  </si>
  <si>
    <t>SH-20260423-1082</t>
  </si>
  <si>
    <t>QR994</t>
  </si>
  <si>
    <t>SH-20260424-1083</t>
  </si>
  <si>
    <t>QR812</t>
  </si>
  <si>
    <t>SH-20260425-1084</t>
  </si>
  <si>
    <t>Vessel-762</t>
  </si>
  <si>
    <t>SH-20260426-1085</t>
  </si>
  <si>
    <t>BA373</t>
  </si>
  <si>
    <t>SH-20260427-1086</t>
  </si>
  <si>
    <t>LH729</t>
  </si>
  <si>
    <t>SH-20260428-1087</t>
  </si>
  <si>
    <t>QR479</t>
  </si>
  <si>
    <t>SH-20260429-1088</t>
  </si>
  <si>
    <t>EK726</t>
  </si>
  <si>
    <t>SH-20260430-1089</t>
  </si>
  <si>
    <t>Vessel-407</t>
  </si>
  <si>
    <t>SH-20260401-1090</t>
  </si>
  <si>
    <t>Vessel-188</t>
  </si>
  <si>
    <t>SH-20260402-1091</t>
  </si>
  <si>
    <t>EK886</t>
  </si>
  <si>
    <t>SH-20260403-1092</t>
  </si>
  <si>
    <t>Vessel-740</t>
  </si>
  <si>
    <t>SH-20260404-1093</t>
  </si>
  <si>
    <t>Vessel-315</t>
  </si>
  <si>
    <t>SH-20260405-1094</t>
  </si>
  <si>
    <t>Vessel-247</t>
  </si>
  <si>
    <t>SH-20260406-1095</t>
  </si>
  <si>
    <t>EK933</t>
  </si>
  <si>
    <t>SH-20260407-1096</t>
  </si>
  <si>
    <t>Vessel-388</t>
  </si>
  <si>
    <t>SH-20260408-1097</t>
  </si>
  <si>
    <t>CX495</t>
  </si>
  <si>
    <t>SH-20260409-1098</t>
  </si>
  <si>
    <t>Vessel-240</t>
  </si>
  <si>
    <t>SH-20260410-1099</t>
  </si>
  <si>
    <t>BA406</t>
  </si>
  <si>
    <t>SH-20260411-1100</t>
  </si>
  <si>
    <t>Vessel-744</t>
  </si>
  <si>
    <t>SH-20260412-1101</t>
  </si>
  <si>
    <t>CX822</t>
  </si>
  <si>
    <t>SH-20260413-1102</t>
  </si>
  <si>
    <t>LH671</t>
  </si>
  <si>
    <t>SH-20260414-1103</t>
  </si>
  <si>
    <t>EK397</t>
  </si>
  <si>
    <t>SH-20260415-1104</t>
  </si>
  <si>
    <t>Vessel-785</t>
  </si>
  <si>
    <t>SH-20260416-1105</t>
  </si>
  <si>
    <t>EK874</t>
  </si>
  <si>
    <t>SH-20260417-1106</t>
  </si>
  <si>
    <t>LH997</t>
  </si>
  <si>
    <t>SH-20260418-1107</t>
  </si>
  <si>
    <t>CX854</t>
  </si>
  <si>
    <t>SH-20260419-1108</t>
  </si>
  <si>
    <t>Vessel-557</t>
  </si>
  <si>
    <t>SH-20260420-1109</t>
  </si>
  <si>
    <t>LH476</t>
  </si>
  <si>
    <t>SH-20260421-1110</t>
  </si>
  <si>
    <t>BA820</t>
  </si>
  <si>
    <t>SH-20260422-1111</t>
  </si>
  <si>
    <t>BA525</t>
  </si>
  <si>
    <t>SH-20260423-1112</t>
  </si>
  <si>
    <t>QR132</t>
  </si>
  <si>
    <t>SH-20260424-1113</t>
  </si>
  <si>
    <t>QR641</t>
  </si>
  <si>
    <t>SH-20260425-1114</t>
  </si>
  <si>
    <t>QR729</t>
  </si>
  <si>
    <t>SH-20260426-1115</t>
  </si>
  <si>
    <t>SH-20260427-1116</t>
  </si>
  <si>
    <t>QR669</t>
  </si>
  <si>
    <t>SH-20260428-1117</t>
  </si>
  <si>
    <t>Vessel-574</t>
  </si>
  <si>
    <t>SH-20260429-1118</t>
  </si>
  <si>
    <t>BA140</t>
  </si>
  <si>
    <t>SH-20260430-1119</t>
  </si>
  <si>
    <t>EK506</t>
  </si>
  <si>
    <t>SH-20260401-1120</t>
  </si>
  <si>
    <t>Vessel-146</t>
  </si>
  <si>
    <t>SH-20260402-1121</t>
  </si>
  <si>
    <t>Vessel-941</t>
  </si>
  <si>
    <t>SH-20260403-1122</t>
  </si>
  <si>
    <t>CX937</t>
  </si>
  <si>
    <t>SH-20260404-1123</t>
  </si>
  <si>
    <t>QR112</t>
  </si>
  <si>
    <t>SH-20260405-1124</t>
  </si>
  <si>
    <t>Vessel-515</t>
  </si>
  <si>
    <t>SH-20260406-1125</t>
  </si>
  <si>
    <t>LH679</t>
  </si>
  <si>
    <t>SH-20260407-1126</t>
  </si>
  <si>
    <t>Vessel-312</t>
  </si>
  <si>
    <t>SH-20260408-1127</t>
  </si>
  <si>
    <t>Vessel-863</t>
  </si>
  <si>
    <t>SH-20260409-1128</t>
  </si>
  <si>
    <t>CX890</t>
  </si>
  <si>
    <t>SH-20260410-1129</t>
  </si>
  <si>
    <t>Vessel-189</t>
  </si>
  <si>
    <t>SH-20260411-1130</t>
  </si>
  <si>
    <t>SH-20260412-1131</t>
  </si>
  <si>
    <t>QR708</t>
  </si>
  <si>
    <t>SH-20260413-1132</t>
  </si>
  <si>
    <t>Vessel-421</t>
  </si>
  <si>
    <t>SH-20260414-1133</t>
  </si>
  <si>
    <t>EK548</t>
  </si>
  <si>
    <t>SH-20260415-1134</t>
  </si>
  <si>
    <t>QR656</t>
  </si>
  <si>
    <t>SH-20260416-1135</t>
  </si>
  <si>
    <t>Vessel-200</t>
  </si>
  <si>
    <t>SH-20260417-1136</t>
  </si>
  <si>
    <t>Vessel-847</t>
  </si>
  <si>
    <t>SH-20260418-1137</t>
  </si>
  <si>
    <t>EK628</t>
  </si>
  <si>
    <t>SH-20260419-1138</t>
  </si>
  <si>
    <t>Vessel-385</t>
  </si>
  <si>
    <t>SH-20260420-1139</t>
  </si>
  <si>
    <t>BA216</t>
  </si>
  <si>
    <t>SH-20260421-1140</t>
  </si>
  <si>
    <t>Vessel-290</t>
  </si>
  <si>
    <t>SH-20260422-1141</t>
  </si>
  <si>
    <t>QR518</t>
  </si>
  <si>
    <t>SH-20260423-1142</t>
  </si>
  <si>
    <t>SH-20260424-1143</t>
  </si>
  <si>
    <t>CX894</t>
  </si>
  <si>
    <t>SH-20260425-1144</t>
  </si>
  <si>
    <t>LH396</t>
  </si>
  <si>
    <t>SH-20260426-1145</t>
  </si>
  <si>
    <t>BA747</t>
  </si>
  <si>
    <t>SH-20260427-1146</t>
  </si>
  <si>
    <t>Vessel-164</t>
  </si>
  <si>
    <t>SH-20260428-1147</t>
  </si>
  <si>
    <t>QR116</t>
  </si>
  <si>
    <t>SH-20260429-1148</t>
  </si>
  <si>
    <t>Vessel-505</t>
  </si>
  <si>
    <t>SH-20260430-1149</t>
  </si>
  <si>
    <t>QR172</t>
  </si>
  <si>
    <t>BaseOnTime</t>
  </si>
  <si>
    <t>BaseDamageRate</t>
  </si>
  <si>
    <t>BaseGreenScore</t>
  </si>
  <si>
    <t>OnTimeStatus</t>
  </si>
  <si>
    <t>RiskScoreCalc</t>
  </si>
  <si>
    <t>DaysToETA</t>
  </si>
  <si>
    <t>CarrierScore</t>
  </si>
  <si>
    <t>AllocationCompliance</t>
  </si>
  <si>
    <t>GreenEfficiencyIndex</t>
  </si>
  <si>
    <t xml:space="preserve">          EMEIA Inbound Logistics Command Centre</t>
  </si>
  <si>
    <t xml:space="preserve">          Synthetic Demo Data – Apple Internal Use Only</t>
  </si>
  <si>
    <t>KEY PERFORMANCE INDICATORS</t>
  </si>
  <si>
    <t>On-Time Delivery %</t>
  </si>
  <si>
    <t>Shipments at Risk</t>
  </si>
  <si>
    <t>Active Shipments</t>
  </si>
  <si>
    <t>Avg Green Efficiency</t>
  </si>
  <si>
    <t>Damage Rate</t>
  </si>
  <si>
    <t>Total CO₂ (kg)</t>
  </si>
  <si>
    <t>Allocation Compliance</t>
  </si>
  <si>
    <t>SLA Breach Rate</t>
  </si>
  <si>
    <t>RISK HEATMAP – HIGH RISK SHIPMENTS (Score &gt; 60)</t>
  </si>
  <si>
    <t>SLA (hrs)</t>
  </si>
  <si>
    <t>Damage</t>
  </si>
  <si>
    <t>STATUS BREAKDOWN</t>
  </si>
  <si>
    <t>Count</t>
  </si>
  <si>
    <t>% of Total</t>
  </si>
  <si>
    <t>CARRIER BREAKDOWN</t>
  </si>
  <si>
    <t>Shipments</t>
  </si>
  <si>
    <t>On-Time %</t>
  </si>
  <si>
    <t>Avg Risk</t>
  </si>
  <si>
    <t>ORIGIN EXECUTION – OTG MONITORING</t>
  </si>
  <si>
    <t>Tracks all shipments currently at origin: OTG, At FF, At Airline status</t>
  </si>
  <si>
    <t>OTG KPIs</t>
  </si>
  <si>
    <t>At Origin</t>
  </si>
  <si>
    <t>ORIGIN PHASE SHIPMENTS (Dynamic FILTER)</t>
  </si>
  <si>
    <t>Risk Flag</t>
  </si>
  <si>
    <t>DESTINATION MANAGEMENT – ALLOCATION COMPLIANCE</t>
  </si>
  <si>
    <t>Monitors allocation type compliance and flags mismatches between shipment type and carrier assignments</t>
  </si>
  <si>
    <t>Compliance Summary</t>
  </si>
  <si>
    <t>Total Compliant</t>
  </si>
  <si>
    <t>Liability Risks</t>
  </si>
  <si>
    <t>Compliance Rate</t>
  </si>
  <si>
    <t>LIABILITY RISK SHIPMENTS (AppleCare allocated to non-AppleCare carriers)</t>
  </si>
  <si>
    <t>Compliance</t>
  </si>
  <si>
    <t>FINAL MILE &amp; ESCALATIONS – SLA MONITORING</t>
  </si>
  <si>
    <t>Real-time SLA countdown with breach detection and escalation tracking</t>
  </si>
  <si>
    <t>SLA Summary</t>
  </si>
  <si>
    <t>SLA Breaches</t>
  </si>
  <si>
    <t>Critical (&lt;12 hrs)</t>
  </si>
  <si>
    <t>On Track (&gt;12 hrs)</t>
  </si>
  <si>
    <t>Breach Rate</t>
  </si>
  <si>
    <t>SLA BREACH &amp; CRITICAL SHIPMENTS</t>
  </si>
  <si>
    <t>SLA (hours)</t>
  </si>
  <si>
    <t>SLA Status</t>
  </si>
  <si>
    <t>CARRIER PERFORMANCE – DYNAMIC SCORECARDS</t>
  </si>
  <si>
    <t>WBR/MBR/QBR carrier performance analysis with trend tracking</t>
  </si>
  <si>
    <t>CARRIER SCORECARD</t>
  </si>
  <si>
    <t>Total Shipments</t>
  </si>
  <si>
    <t>Late Count</t>
  </si>
  <si>
    <t>Damage %</t>
  </si>
  <si>
    <t>Avg Risk Score</t>
  </si>
  <si>
    <t>Avg CO₂ (kg)</t>
  </si>
  <si>
    <t>Avg Green Index</t>
  </si>
  <si>
    <t>Base On-Time (Ref)</t>
  </si>
  <si>
    <t>Performance Gap</t>
  </si>
  <si>
    <t>QUALITY &amp; LOSS/DAMAGE MANAGEMENT</t>
  </si>
  <si>
    <t>Issue tracker with Pareto analysis for root cause prioritisation</t>
  </si>
  <si>
    <t>Damage Overview</t>
  </si>
  <si>
    <t>Total Damaged</t>
  </si>
  <si>
    <t>PARETO ANALYSIS – DAMAGE BY REASON</t>
  </si>
  <si>
    <t>Cumulative %</t>
  </si>
  <si>
    <t>Other</t>
  </si>
  <si>
    <t>DAMAGED SHIPMENT DETAIL</t>
  </si>
  <si>
    <t>GREEN EFFICIENCY – CO₂ DASHBOARD</t>
  </si>
  <si>
    <t>Environmental impact tracking with What-If analysis for carrier CO₂ optimization</t>
  </si>
  <si>
    <t>CO₂ OVERVIEW</t>
  </si>
  <si>
    <t>Avg per Shipment</t>
  </si>
  <si>
    <t>CO₂ BY CARRIER</t>
  </si>
  <si>
    <t>Green Score (Ref)</t>
  </si>
  <si>
    <t>Share of Total CO₂</t>
  </si>
  <si>
    <t>WHAT-IF ANALYSIS – CO₂ REDUCTION SCENARIOS</t>
  </si>
  <si>
    <t>Adjust carrier CO₂ reduction factors below (blue cells) to model the impact on total emissions</t>
  </si>
  <si>
    <t>Current CO₂</t>
  </si>
  <si>
    <t>Reduction %</t>
  </si>
  <si>
    <t>Projected CO₂</t>
  </si>
  <si>
    <t>CO₂ Saved</t>
  </si>
  <si>
    <t>SCENARIO SUMMARY</t>
  </si>
  <si>
    <t>Current Total CO₂</t>
  </si>
  <si>
    <t>kg</t>
  </si>
  <si>
    <t>Projected Total CO₂</t>
  </si>
  <si>
    <t>Total CO₂ Saved</t>
  </si>
  <si>
    <t>REPORTS &amp; KPIs – CONSOLIDATED METRICS</t>
  </si>
  <si>
    <t>Weekly Business Review (WBR) summary with consolidated performance metrics</t>
  </si>
  <si>
    <t>WBR EXECUTIVE SUMMARY</t>
  </si>
  <si>
    <t>DELIVERY PERFORMANCE</t>
  </si>
  <si>
    <t>On-Time Delivery Rate</t>
  </si>
  <si>
    <t>Late Delivery Rate</t>
  </si>
  <si>
    <t>Pending Rate</t>
  </si>
  <si>
    <t>Delayed / Exception</t>
  </si>
  <si>
    <t>Average Days to ETA</t>
  </si>
  <si>
    <t>RISK &amp; QUALITY</t>
  </si>
  <si>
    <t>Average Risk Score</t>
  </si>
  <si>
    <t>High Risk (&gt;70)</t>
  </si>
  <si>
    <t>Total Breaches</t>
  </si>
  <si>
    <t>COMPLIANCE &amp; SUSTAINABILITY</t>
  </si>
  <si>
    <t>Allocation Compliance Rate</t>
  </si>
  <si>
    <t>Total CO₂ Emissions</t>
  </si>
  <si>
    <t>Avg CO₂ per Shipment</t>
  </si>
  <si>
    <t>Best Carrier (Green)</t>
  </si>
  <si>
    <t>CARRIER WBR SCORECARD</t>
  </si>
  <si>
    <t>Volume</t>
  </si>
  <si>
    <t>CO₂/Shipment</t>
  </si>
  <si>
    <t>Rating</t>
  </si>
  <si>
    <t>GENERATE WBR REPORT</t>
  </si>
  <si>
    <t>To generate the Weekly Business Review, use the following VBA macro:</t>
  </si>
  <si>
    <t>Sub GenerateWBR()</t>
  </si>
  <si>
    <t xml:space="preserve">    Dim ws As Worksheet</t>
  </si>
  <si>
    <t xml:space="preserve">    For Each ws In ThisWorkbook.Worksheets</t>
  </si>
  <si>
    <t xml:space="preserve">        On Error Resume Next</t>
  </si>
  <si>
    <t xml:space="preserve">        ws.PivotTables(1).RefreshTable</t>
  </si>
  <si>
    <t xml:space="preserve">        On Error GoTo 0</t>
  </si>
  <si>
    <t xml:space="preserve">    Next ws</t>
  </si>
  <si>
    <t xml:space="preserve">    MsgBox "WBR Report refreshed successfully.", vbInformation</t>
  </si>
  <si>
    <t>End Sub</t>
  </si>
  <si>
    <t>Note: Copy this macro into the VBA editor (Alt+F11) and assign to a button. The add-in cannot create VBA macros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</si>
</sst>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yyyy/mm/dd"/>
    <numFmt numFmtId="166" formatCode="yyyy/mm/dd\ hh:mm"/>
    <numFmt numFmtId="167" formatCode="#,##0.0"/>
    <numFmt numFmtId="168" formatCode="0.0"/>
    <numFmt numFmtId="169" formatCode="0.0%"/>
    <numFmt numFmtId="170" formatCode="\+0.0%;\-0.0%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</font>
    <font>
      <b/>
      <sz val="10"/>
      <color theme="1"/>
      <name val="Segoe UI"/>
    </font>
    <font>
      <b/>
      <sz val="10"/>
      <color rgb="FFFFFFFF"/>
      <name val="Segoe UI"/>
    </font>
    <font>
      <sz val="9"/>
      <color theme="1"/>
      <name val="Segoe UI"/>
    </font>
    <font>
      <sz val="9"/>
      <color rgb="FF1D1D1F"/>
      <name val="Segoe UI"/>
    </font>
    <font>
      <b/>
      <sz val="18"/>
      <color rgb="FFFFFFFF"/>
      <name val="Segoe UI"/>
    </font>
    <font>
      <sz val="10"/>
      <color rgb="FF86868B"/>
      <name val="Segoe UI"/>
    </font>
    <font>
      <sz val="9"/>
      <color rgb="FF86868B"/>
      <name val="Segoe UI"/>
    </font>
    <font>
      <sz val="11"/>
      <color rgb="FF1D1D1F"/>
      <name val="Calibri"/>
      <family val="2"/>
      <scheme val="minor"/>
    </font>
    <font>
      <b/>
      <sz val="13"/>
      <color rgb="FF1D1D1F"/>
      <name val="Segoe UI"/>
    </font>
    <font>
      <sz val="9"/>
      <color rgb="FF86868B"/>
      <name val="Calibri"/>
      <family val="2"/>
      <scheme val="minor"/>
    </font>
    <font>
      <b/>
      <sz val="9"/>
      <color rgb="FF86868B"/>
      <name val="Segoe UI"/>
    </font>
    <font>
      <sz val="11"/>
      <color rgb="FF34C759"/>
      <name val="Calibri"/>
      <family val="2"/>
      <scheme val="minor"/>
    </font>
    <font>
      <b/>
      <sz val="24"/>
      <color rgb="FF34C759"/>
      <name val="Segoe UI"/>
    </font>
    <font>
      <b/>
      <sz val="24"/>
      <color rgb="FFFF3B30"/>
      <name val="Segoe UI"/>
    </font>
    <font>
      <b/>
      <sz val="24"/>
      <color rgb="FF0071E3"/>
      <name val="Segoe UI"/>
    </font>
    <font>
      <b/>
      <sz val="24"/>
      <color rgb="FF1D1D1F"/>
      <name val="Segoe UI"/>
    </font>
    <font>
      <b/>
      <sz val="12"/>
      <color rgb="FF1D1D1F"/>
      <name val="Segoe UI"/>
    </font>
    <font>
      <b/>
      <sz val="9"/>
      <color rgb="FFFFFFFF"/>
      <name val="Segoe UI"/>
    </font>
    <font>
      <b/>
      <sz val="9"/>
      <color rgb="FF1D1D1F"/>
      <name val="Segoe UI"/>
    </font>
    <font>
      <sz val="9"/>
      <color theme="1"/>
      <name val="Calibri"/>
      <family val="2"/>
      <scheme val="minor"/>
    </font>
    <font>
      <sz val="9"/>
      <color rgb="FFFF3B30"/>
      <name val="Calibri"/>
      <family val="2"/>
      <scheme val="minor"/>
    </font>
    <font>
      <sz val="9"/>
      <color rgb="FFFF3B30"/>
      <name val="Segoe UI"/>
    </font>
    <font>
      <sz val="9"/>
      <color rgb="FF0071E3"/>
      <name val="Calibri"/>
      <family val="2"/>
      <scheme val="minor"/>
    </font>
    <font>
      <sz val="9"/>
      <color rgb="FF0071E3"/>
      <name val="Segoe UI"/>
    </font>
    <font>
      <b/>
      <sz val="9"/>
      <color rgb="FFFF3B30"/>
      <name val="Segoe UI"/>
    </font>
    <font>
      <b/>
      <sz val="9"/>
      <color rgb="FFFF3B30"/>
      <name val="Calibri"/>
      <family val="2"/>
      <scheme val="minor"/>
    </font>
    <font>
      <b/>
      <sz val="11"/>
      <color rgb="FF1D1D1F"/>
      <name val="Segoe UI"/>
    </font>
    <font>
      <b/>
      <sz val="24"/>
      <color rgb="FFFFCC00"/>
      <name val="Segoe UI"/>
    </font>
    <font>
      <b/>
      <sz val="11"/>
      <color rgb="FFFF3B30"/>
      <name val="Segoe UI"/>
    </font>
    <font>
      <b/>
      <sz val="9"/>
      <color theme="1"/>
      <name val="Segoe UI"/>
    </font>
    <font>
      <b/>
      <sz val="9"/>
      <color rgb="FF0000FF"/>
      <name val="Segoe UI"/>
    </font>
    <font>
      <b/>
      <sz val="9"/>
      <color rgb="FF34C759"/>
      <name val="Segoe UI"/>
    </font>
    <font>
      <b/>
      <sz val="11"/>
      <color rgb="FF0000FF"/>
      <name val="Calibri"/>
      <family val="2"/>
      <scheme val="minor"/>
    </font>
    <font>
      <b/>
      <sz val="11"/>
      <color rgb="FF34C759"/>
      <name val="Calibri"/>
      <family val="2"/>
      <scheme val="minor"/>
    </font>
    <font>
      <sz val="9"/>
      <color rgb="FF34C759"/>
      <name val="Calibri"/>
      <family val="2"/>
      <scheme val="minor"/>
    </font>
    <font>
      <b/>
      <sz val="11"/>
      <color rgb="FFFF3B30"/>
      <name val="Calibri"/>
      <family val="2"/>
      <scheme val="minor"/>
    </font>
    <font>
      <sz val="9"/>
      <color rgb="FF1D1D1F"/>
      <name val="Consolas"/>
    </font>
    <font>
      <b/>
      <sz val="9"/>
      <color rgb="FF1D1D1F"/>
      <name val="Consolas"/>
    </font>
    <font>
      <i/>
      <sz val="9"/>
      <color rgb="FF86868B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5F5F7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EF0"/>
        <bgColor indexed="64"/>
      </patternFill>
    </fill>
    <fill>
      <patternFill patternType="solid">
        <fgColor rgb="FFE8F8ED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0071E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E5E5EA"/>
      </top>
      <bottom/>
      <diagonal/>
    </border>
    <border>
      <left style="thin">
        <color rgb="FFE5E5EA"/>
      </left>
      <right/>
      <top style="thin">
        <color rgb="FFE5E5EA"/>
      </top>
      <bottom/>
      <diagonal/>
    </border>
    <border>
      <left style="thin">
        <color rgb="FFE5E5EA"/>
      </left>
      <right/>
      <top/>
      <bottom/>
      <diagonal/>
    </border>
    <border>
      <left/>
      <right/>
      <top/>
      <bottom style="thin">
        <color rgb="FFE5E5EA"/>
      </bottom>
      <diagonal/>
    </border>
    <border>
      <left style="thin">
        <color rgb="FFE5E5EA"/>
      </left>
      <right/>
      <top/>
      <bottom style="thin">
        <color rgb="FFE5E5EA"/>
      </bottom>
      <diagonal/>
    </border>
    <border>
      <left/>
      <right style="thin">
        <color rgb="FFE5E5EA"/>
      </right>
      <top/>
      <bottom/>
      <diagonal/>
    </border>
    <border>
      <left/>
      <right style="thin">
        <color rgb="FFE5E5EA"/>
      </right>
      <top style="thin">
        <color rgb="FFE5E5EA"/>
      </top>
      <bottom/>
      <diagonal/>
    </border>
    <border>
      <left/>
      <right style="thin">
        <color rgb="FFE5E5EA"/>
      </right>
      <top/>
      <bottom style="thin">
        <color rgb="FFE5E5EA"/>
      </bottom>
      <diagonal/>
    </border>
    <border>
      <left/>
      <right/>
      <top/>
      <bottom style="thin">
        <color rgb="FF34C759"/>
      </bottom>
      <diagonal/>
    </border>
    <border>
      <left/>
      <right/>
      <top/>
      <bottom style="thin">
        <color rgb="FF1D1D1F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2" borderId="0" xfId="0" applyFill="1"/>
    <xf numFmtId="10" fontId="0" fillId="2" borderId="0" xfId="0" applyNumberFormat="1" applyFill="1"/>
    <xf numFmtId="164" fontId="0" fillId="2" borderId="0" xfId="0" applyNumberFormat="1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  <xf numFmtId="22" fontId="6" fillId="2" borderId="0" xfId="0" applyNumberFormat="1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167" fontId="6" fillId="2" borderId="0" xfId="0" applyNumberFormat="1" applyFont="1" applyFill="1"/>
    <xf numFmtId="1" fontId="6" fillId="2" borderId="0" xfId="0" applyNumberFormat="1" applyFont="1" applyFill="1"/>
    <xf numFmtId="168" fontId="6" fillId="2" borderId="0" xfId="0" applyNumberFormat="1" applyFont="1" applyFill="1"/>
    <xf numFmtId="169" fontId="6" fillId="2" borderId="0" xfId="0" applyNumberFormat="1" applyFont="1" applyFill="1"/>
    <xf numFmtId="0" fontId="0" fillId="3" borderId="0" xfId="0" applyFill="1"/>
    <xf numFmtId="0" fontId="11" fillId="2" borderId="0" xfId="0" applyFont="1" applyFill="1"/>
    <xf numFmtId="0" fontId="9" fillId="2" borderId="0" xfId="0" applyFont="1" applyFill="1"/>
    <xf numFmtId="0" fontId="13" fillId="4" borderId="0" xfId="0" applyFont="1" applyFill="1"/>
    <xf numFmtId="0" fontId="13" fillId="4" borderId="2" xfId="0" applyFont="1" applyFill="1" applyBorder="1"/>
    <xf numFmtId="0" fontId="9" fillId="4" borderId="0" xfId="0" applyFont="1" applyFill="1"/>
    <xf numFmtId="0" fontId="19" fillId="2" borderId="0" xfId="0" applyFont="1" applyFill="1"/>
    <xf numFmtId="0" fontId="20" fillId="3" borderId="0" xfId="0" applyFont="1" applyFill="1" applyAlignment="1">
      <alignment horizontal="center"/>
    </xf>
    <xf numFmtId="0" fontId="6" fillId="4" borderId="0" xfId="0" applyFont="1" applyFill="1"/>
    <xf numFmtId="168" fontId="6" fillId="4" borderId="0" xfId="0" applyNumberFormat="1" applyFont="1" applyFill="1"/>
    <xf numFmtId="0" fontId="21" fillId="4" borderId="0" xfId="0" applyFont="1" applyFill="1"/>
    <xf numFmtId="0" fontId="6" fillId="5" borderId="0" xfId="0" applyFont="1" applyFill="1"/>
    <xf numFmtId="168" fontId="6" fillId="5" borderId="0" xfId="0" applyNumberFormat="1" applyFont="1" applyFill="1"/>
    <xf numFmtId="0" fontId="21" fillId="4" borderId="0" xfId="0" applyFont="1" applyFill="1" applyAlignment="1">
      <alignment horizontal="center"/>
    </xf>
    <xf numFmtId="0" fontId="6" fillId="5" borderId="4" xfId="0" applyFont="1" applyFill="1" applyBorder="1"/>
    <xf numFmtId="0" fontId="6" fillId="4" borderId="0" xfId="0" applyFont="1" applyFill="1" applyAlignment="1">
      <alignment horizontal="center"/>
    </xf>
    <xf numFmtId="169" fontId="6" fillId="4" borderId="0" xfId="0" applyNumberFormat="1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69" fontId="22" fillId="5" borderId="0" xfId="0" applyNumberFormat="1" applyFont="1" applyFill="1" applyAlignment="1">
      <alignment horizontal="center"/>
    </xf>
    <xf numFmtId="0" fontId="24" fillId="4" borderId="0" xfId="0" applyFont="1" applyFill="1"/>
    <xf numFmtId="0" fontId="23" fillId="4" borderId="0" xfId="0" applyFont="1" applyFill="1" applyAlignment="1">
      <alignment horizontal="center"/>
    </xf>
    <xf numFmtId="169" fontId="23" fillId="4" borderId="0" xfId="0" applyNumberFormat="1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169" fontId="22" fillId="4" borderId="0" xfId="0" applyNumberFormat="1" applyFont="1" applyFill="1" applyAlignment="1">
      <alignment horizontal="center"/>
    </xf>
    <xf numFmtId="0" fontId="26" fillId="5" borderId="0" xfId="0" applyFont="1" applyFill="1"/>
    <xf numFmtId="0" fontId="25" fillId="5" borderId="0" xfId="0" applyFont="1" applyFill="1" applyAlignment="1">
      <alignment horizontal="center"/>
    </xf>
    <xf numFmtId="169" fontId="25" fillId="5" borderId="0" xfId="0" applyNumberFormat="1" applyFont="1" applyFill="1" applyAlignment="1">
      <alignment horizontal="center"/>
    </xf>
    <xf numFmtId="0" fontId="27" fillId="4" borderId="0" xfId="0" applyFont="1" applyFill="1"/>
    <xf numFmtId="0" fontId="28" fillId="4" borderId="0" xfId="0" applyFont="1" applyFill="1" applyAlignment="1">
      <alignment horizontal="center"/>
    </xf>
    <xf numFmtId="169" fontId="28" fillId="4" borderId="0" xfId="0" applyNumberFormat="1" applyFont="1" applyFill="1" applyAlignment="1">
      <alignment horizontal="center"/>
    </xf>
    <xf numFmtId="0" fontId="5" fillId="5" borderId="0" xfId="0" applyFont="1" applyFill="1"/>
    <xf numFmtId="169" fontId="5" fillId="5" borderId="0" xfId="0" applyNumberFormat="1" applyFont="1" applyFill="1"/>
    <xf numFmtId="168" fontId="5" fillId="5" borderId="0" xfId="0" applyNumberFormat="1" applyFont="1" applyFill="1"/>
    <xf numFmtId="0" fontId="5" fillId="4" borderId="0" xfId="0" applyFont="1" applyFill="1"/>
    <xf numFmtId="169" fontId="5" fillId="4" borderId="0" xfId="0" applyNumberFormat="1" applyFont="1" applyFill="1"/>
    <xf numFmtId="168" fontId="5" fillId="4" borderId="0" xfId="0" applyNumberFormat="1" applyFont="1" applyFill="1"/>
    <xf numFmtId="0" fontId="29" fillId="2" borderId="0" xfId="0" applyFont="1" applyFill="1"/>
    <xf numFmtId="165" fontId="6" fillId="4" borderId="0" xfId="0" applyNumberFormat="1" applyFont="1" applyFill="1"/>
    <xf numFmtId="0" fontId="31" fillId="2" borderId="0" xfId="0" applyFont="1" applyFill="1"/>
    <xf numFmtId="0" fontId="32" fillId="4" borderId="0" xfId="0" applyFont="1" applyFill="1"/>
    <xf numFmtId="0" fontId="0" fillId="4" borderId="0" xfId="0" applyFill="1" applyAlignment="1">
      <alignment horizontal="center"/>
    </xf>
    <xf numFmtId="169" fontId="0" fillId="4" borderId="0" xfId="0" applyNumberFormat="1" applyFill="1" applyAlignment="1">
      <alignment horizontal="center"/>
    </xf>
    <xf numFmtId="168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70" fontId="0" fillId="4" borderId="0" xfId="0" applyNumberFormat="1" applyFill="1" applyAlignment="1">
      <alignment horizontal="center"/>
    </xf>
    <xf numFmtId="0" fontId="21" fillId="5" borderId="0" xfId="0" applyFont="1" applyFill="1"/>
    <xf numFmtId="0" fontId="32" fillId="5" borderId="0" xfId="0" applyFont="1" applyFill="1"/>
    <xf numFmtId="0" fontId="5" fillId="4" borderId="0" xfId="0" applyFont="1" applyFill="1" applyAlignment="1">
      <alignment horizontal="center"/>
    </xf>
    <xf numFmtId="169" fontId="5" fillId="4" borderId="0" xfId="0" applyNumberFormat="1" applyFont="1" applyFill="1" applyAlignment="1">
      <alignment horizontal="center"/>
    </xf>
    <xf numFmtId="168" fontId="5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170" fontId="5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69" fontId="0" fillId="5" borderId="0" xfId="0" applyNumberFormat="1" applyFill="1" applyAlignment="1">
      <alignment horizontal="center"/>
    </xf>
    <xf numFmtId="0" fontId="5" fillId="5" borderId="0" xfId="0" applyFont="1" applyFill="1" applyAlignment="1">
      <alignment horizontal="center"/>
    </xf>
    <xf numFmtId="169" fontId="5" fillId="5" borderId="0" xfId="0" applyNumberFormat="1" applyFont="1" applyFill="1" applyAlignment="1">
      <alignment horizontal="center"/>
    </xf>
    <xf numFmtId="3" fontId="18" fillId="4" borderId="5" xfId="0" applyNumberFormat="1" applyFont="1" applyFill="1" applyBorder="1"/>
    <xf numFmtId="168" fontId="15" fillId="4" borderId="5" xfId="0" applyNumberFormat="1" applyFont="1" applyFill="1" applyBorder="1"/>
    <xf numFmtId="3" fontId="29" fillId="4" borderId="5" xfId="0" applyNumberFormat="1" applyFont="1" applyFill="1" applyBorder="1"/>
    <xf numFmtId="0" fontId="20" fillId="4" borderId="0" xfId="0" applyFont="1" applyFill="1" applyAlignment="1">
      <alignment horizontal="center"/>
    </xf>
    <xf numFmtId="3" fontId="20" fillId="4" borderId="0" xfId="0" applyNumberFormat="1" applyFont="1" applyFill="1" applyAlignment="1">
      <alignment horizontal="center"/>
    </xf>
    <xf numFmtId="9" fontId="33" fillId="6" borderId="0" xfId="0" applyNumberFormat="1" applyFont="1" applyFill="1" applyAlignment="1">
      <alignment horizontal="center"/>
    </xf>
    <xf numFmtId="3" fontId="34" fillId="4" borderId="0" xfId="0" applyNumberFormat="1" applyFont="1" applyFill="1" applyAlignment="1">
      <alignment horizontal="center"/>
    </xf>
    <xf numFmtId="3" fontId="0" fillId="5" borderId="0" xfId="0" applyNumberFormat="1" applyFill="1" applyAlignment="1">
      <alignment horizontal="center"/>
    </xf>
    <xf numFmtId="9" fontId="35" fillId="6" borderId="0" xfId="0" applyNumberFormat="1" applyFont="1" applyFill="1" applyAlignment="1">
      <alignment horizontal="center"/>
    </xf>
    <xf numFmtId="3" fontId="14" fillId="5" borderId="0" xfId="0" applyNumberFormat="1" applyFont="1" applyFill="1" applyAlignment="1">
      <alignment horizontal="center"/>
    </xf>
    <xf numFmtId="3" fontId="14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/>
    <xf numFmtId="3" fontId="1" fillId="4" borderId="1" xfId="0" applyNumberFormat="1" applyFont="1" applyFill="1" applyBorder="1"/>
    <xf numFmtId="0" fontId="12" fillId="4" borderId="0" xfId="0" applyFont="1" applyFill="1"/>
    <xf numFmtId="0" fontId="12" fillId="4" borderId="1" xfId="0" applyFont="1" applyFill="1" applyBorder="1"/>
    <xf numFmtId="3" fontId="36" fillId="4" borderId="0" xfId="0" applyNumberFormat="1" applyFont="1" applyFill="1"/>
    <xf numFmtId="0" fontId="3" fillId="7" borderId="0" xfId="0" applyFont="1" applyFill="1"/>
    <xf numFmtId="0" fontId="3" fillId="7" borderId="9" xfId="0" applyFont="1" applyFill="1" applyBorder="1"/>
    <xf numFmtId="3" fontId="36" fillId="7" borderId="9" xfId="0" applyNumberFormat="1" applyFont="1" applyFill="1" applyBorder="1"/>
    <xf numFmtId="0" fontId="37" fillId="7" borderId="9" xfId="0" applyFont="1" applyFill="1" applyBorder="1"/>
    <xf numFmtId="169" fontId="36" fillId="7" borderId="0" xfId="0" applyNumberFormat="1" applyFont="1" applyFill="1"/>
    <xf numFmtId="168" fontId="0" fillId="5" borderId="0" xfId="0" applyNumberFormat="1" applyFill="1" applyAlignment="1">
      <alignment horizontal="center"/>
    </xf>
    <xf numFmtId="0" fontId="1" fillId="4" borderId="0" xfId="0" applyFont="1" applyFill="1" applyAlignment="1">
      <alignment horizontal="right"/>
    </xf>
    <xf numFmtId="169" fontId="1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right"/>
    </xf>
    <xf numFmtId="169" fontId="38" fillId="5" borderId="0" xfId="0" applyNumberFormat="1" applyFont="1" applyFill="1" applyAlignment="1">
      <alignment horizontal="right"/>
    </xf>
    <xf numFmtId="0" fontId="38" fillId="5" borderId="0" xfId="0" applyFont="1" applyFill="1" applyAlignment="1">
      <alignment horizontal="right"/>
    </xf>
    <xf numFmtId="168" fontId="1" fillId="5" borderId="0" xfId="0" applyNumberFormat="1" applyFont="1" applyFill="1" applyAlignment="1">
      <alignment horizontal="right"/>
    </xf>
    <xf numFmtId="168" fontId="1" fillId="4" borderId="0" xfId="0" applyNumberFormat="1" applyFont="1" applyFill="1" applyAlignment="1">
      <alignment horizontal="right"/>
    </xf>
    <xf numFmtId="0" fontId="38" fillId="4" borderId="0" xfId="0" applyFont="1" applyFill="1" applyAlignment="1">
      <alignment horizontal="right"/>
    </xf>
    <xf numFmtId="169" fontId="1" fillId="5" borderId="0" xfId="0" applyNumberFormat="1" applyFont="1" applyFill="1" applyAlignment="1">
      <alignment horizontal="right"/>
    </xf>
    <xf numFmtId="169" fontId="38" fillId="4" borderId="0" xfId="0" applyNumberFormat="1" applyFont="1" applyFill="1" applyAlignment="1">
      <alignment horizontal="right"/>
    </xf>
    <xf numFmtId="3" fontId="1" fillId="5" borderId="0" xfId="0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0" fontId="36" fillId="4" borderId="0" xfId="0" applyFont="1" applyFill="1" applyAlignment="1">
      <alignment horizontal="right"/>
    </xf>
    <xf numFmtId="0" fontId="13" fillId="8" borderId="0" xfId="0" applyFont="1" applyFill="1"/>
    <xf numFmtId="0" fontId="13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3" fillId="5" borderId="0" xfId="0" applyFont="1" applyFill="1"/>
    <xf numFmtId="0" fontId="32" fillId="4" borderId="0" xfId="0" applyFont="1" applyFill="1" applyAlignment="1">
      <alignment horizontal="center"/>
    </xf>
    <xf numFmtId="0" fontId="4" fillId="3" borderId="10" xfId="0" applyFont="1" applyFill="1" applyBorder="1"/>
    <xf numFmtId="0" fontId="0" fillId="3" borderId="10" xfId="0" applyFill="1" applyBorder="1"/>
    <xf numFmtId="0" fontId="4" fillId="9" borderId="0" xfId="0" applyFont="1" applyFill="1"/>
    <xf numFmtId="0" fontId="0" fillId="9" borderId="0" xfId="0" applyFill="1"/>
    <xf numFmtId="0" fontId="39" fillId="5" borderId="0" xfId="0" applyFont="1" applyFill="1"/>
    <xf numFmtId="0" fontId="39" fillId="4" borderId="0" xfId="0" applyFont="1" applyFill="1"/>
    <xf numFmtId="0" fontId="39" fillId="2" borderId="0" xfId="0" applyFont="1" applyFill="1"/>
    <xf numFmtId="0" fontId="40" fillId="3" borderId="0" xfId="0" applyFont="1" applyFill="1"/>
    <xf numFmtId="0" fontId="41" fillId="4" borderId="0" xfId="0" applyFont="1" applyFill="1"/>
    <xf numFmtId="0" fontId="10" fillId="3" borderId="0" xfId="0" applyFont="1" applyFill="1"/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0" fillId="3" borderId="0" xfId="0" applyFont="1" applyFill="1"/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3" fillId="4" borderId="3" xfId="0" applyFont="1" applyFill="1" applyBorder="1"/>
    <xf numFmtId="0" fontId="13" fillId="4" borderId="6" xfId="0" applyFont="1" applyFill="1" applyBorder="1"/>
    <xf numFmtId="0" fontId="15" fillId="4" borderId="3" xfId="0" applyFont="1" applyFill="1" applyBorder="1"/>
    <xf numFmtId="0" fontId="15" fillId="4" borderId="6" xfId="0" applyFont="1" applyFill="1" applyBorder="1"/>
    <xf numFmtId="0" fontId="13" fillId="4" borderId="0" xfId="0" applyFont="1" applyFill="1"/>
    <xf numFmtId="0" fontId="16" fillId="4" borderId="0" xfId="0" applyFont="1" applyFill="1"/>
    <xf numFmtId="0" fontId="16" fillId="4" borderId="6" xfId="0" applyFont="1" applyFill="1" applyBorder="1"/>
    <xf numFmtId="169" fontId="17" fillId="4" borderId="0" xfId="0" applyNumberFormat="1" applyFont="1" applyFill="1"/>
    <xf numFmtId="169" fontId="17" fillId="4" borderId="6" xfId="0" applyNumberFormat="1" applyFont="1" applyFill="1" applyBorder="1"/>
    <xf numFmtId="0" fontId="9" fillId="4" borderId="3" xfId="0" applyFont="1" applyFill="1" applyBorder="1"/>
    <xf numFmtId="0" fontId="9" fillId="4" borderId="4" xfId="0" applyFont="1" applyFill="1" applyBorder="1"/>
    <xf numFmtId="0" fontId="9" fillId="4" borderId="8" xfId="0" applyFont="1" applyFill="1" applyBorder="1"/>
    <xf numFmtId="0" fontId="13" fillId="4" borderId="1" xfId="0" applyFont="1" applyFill="1" applyBorder="1"/>
    <xf numFmtId="0" fontId="13" fillId="4" borderId="7" xfId="0" applyFont="1" applyFill="1" applyBorder="1"/>
    <xf numFmtId="1" fontId="16" fillId="4" borderId="3" xfId="0" applyNumberFormat="1" applyFont="1" applyFill="1" applyBorder="1"/>
    <xf numFmtId="1" fontId="16" fillId="4" borderId="0" xfId="0" applyNumberFormat="1" applyFont="1" applyFill="1"/>
    <xf numFmtId="1" fontId="16" fillId="4" borderId="6" xfId="0" applyNumberFormat="1" applyFont="1" applyFill="1" applyBorder="1"/>
    <xf numFmtId="169" fontId="15" fillId="4" borderId="3" xfId="0" applyNumberFormat="1" applyFont="1" applyFill="1" applyBorder="1"/>
    <xf numFmtId="169" fontId="15" fillId="4" borderId="0" xfId="0" applyNumberFormat="1" applyFont="1" applyFill="1"/>
    <xf numFmtId="169" fontId="15" fillId="4" borderId="6" xfId="0" applyNumberFormat="1" applyFont="1" applyFill="1" applyBorder="1"/>
    <xf numFmtId="1" fontId="17" fillId="4" borderId="3" xfId="0" applyNumberFormat="1" applyFont="1" applyFill="1" applyBorder="1"/>
    <xf numFmtId="1" fontId="17" fillId="4" borderId="0" xfId="0" applyNumberFormat="1" applyFont="1" applyFill="1"/>
    <xf numFmtId="1" fontId="17" fillId="4" borderId="6" xfId="0" applyNumberFormat="1" applyFont="1" applyFill="1" applyBorder="1"/>
    <xf numFmtId="168" fontId="15" fillId="4" borderId="3" xfId="0" applyNumberFormat="1" applyFont="1" applyFill="1" applyBorder="1"/>
    <xf numFmtId="168" fontId="15" fillId="4" borderId="0" xfId="0" applyNumberFormat="1" applyFont="1" applyFill="1"/>
    <xf numFmtId="168" fontId="15" fillId="4" borderId="6" xfId="0" applyNumberFormat="1" applyFont="1" applyFill="1" applyBorder="1"/>
    <xf numFmtId="169" fontId="16" fillId="4" borderId="3" xfId="0" applyNumberFormat="1" applyFont="1" applyFill="1" applyBorder="1"/>
    <xf numFmtId="169" fontId="16" fillId="4" borderId="0" xfId="0" applyNumberFormat="1" applyFont="1" applyFill="1"/>
    <xf numFmtId="169" fontId="16" fillId="4" borderId="6" xfId="0" applyNumberFormat="1" applyFont="1" applyFill="1" applyBorder="1"/>
    <xf numFmtId="3" fontId="18" fillId="4" borderId="3" xfId="0" applyNumberFormat="1" applyFont="1" applyFill="1" applyBorder="1"/>
    <xf numFmtId="3" fontId="18" fillId="4" borderId="0" xfId="0" applyNumberFormat="1" applyFont="1" applyFill="1"/>
    <xf numFmtId="3" fontId="18" fillId="4" borderId="6" xfId="0" applyNumberFormat="1" applyFont="1" applyFill="1" applyBorder="1"/>
    <xf numFmtId="0" fontId="17" fillId="4" borderId="0" xfId="0" applyFont="1" applyFill="1"/>
    <xf numFmtId="0" fontId="17" fillId="4" borderId="8" xfId="0" applyFont="1" applyFill="1" applyBorder="1"/>
    <xf numFmtId="0" fontId="17" fillId="4" borderId="3" xfId="0" applyFont="1" applyFill="1" applyBorder="1"/>
    <xf numFmtId="0" fontId="30" fillId="4" borderId="0" xfId="0" applyFont="1" applyFill="1"/>
    <xf numFmtId="0" fontId="30" fillId="4" borderId="8" xfId="0" applyFont="1" applyFill="1" applyBorder="1"/>
    <xf numFmtId="0" fontId="16" fillId="4" borderId="3" xfId="0" applyFont="1" applyFill="1" applyBorder="1"/>
    <xf numFmtId="0" fontId="30" fillId="4" borderId="6" xfId="0" applyFont="1" applyFill="1" applyBorder="1"/>
    <xf numFmtId="0" fontId="15" fillId="4" borderId="0" xfId="0" applyFont="1" applyFill="1"/>
    <xf numFmtId="0" fontId="0" fillId="3" borderId="0" xfId="0" applyFill="1"/>
  </cellXfs>
  <cellStyles count="1">
    <cellStyle name="Normal" xfId="0" builtinId="0"/>
  </cellStyles>
  <dxfs count="51">
    <dxf>
      <font>
        <color rgb="FFFF3B30"/>
      </font>
      <fill>
        <patternFill patternType="solid">
          <fgColor indexed="64"/>
          <bgColor rgb="FFFFF0EF"/>
        </patternFill>
      </fill>
    </dxf>
    <dxf>
      <font>
        <color rgb="FFFFCC00"/>
      </font>
      <fill>
        <patternFill patternType="solid">
          <fgColor indexed="64"/>
          <bgColor rgb="FFFFFEF0"/>
        </patternFill>
      </fill>
    </dxf>
    <dxf>
      <font>
        <color rgb="FF34C759"/>
      </font>
      <fill>
        <patternFill patternType="solid">
          <fgColor indexed="64"/>
          <bgColor rgb="FFE8F8ED"/>
        </patternFill>
      </fill>
    </dxf>
    <dxf>
      <font>
        <color rgb="FFFFCC00"/>
      </font>
      <fill>
        <patternFill patternType="solid">
          <fgColor indexed="64"/>
          <bgColor rgb="FFFFFEF0"/>
        </patternFill>
      </fill>
    </dxf>
    <dxf>
      <font>
        <b/>
        <i val="0"/>
        <color rgb="FFFF3B30"/>
      </font>
      <fill>
        <patternFill patternType="solid">
          <fgColor indexed="64"/>
          <bgColor rgb="FFFFF0EF"/>
        </patternFill>
      </fill>
    </dxf>
    <dxf>
      <font>
        <b/>
        <i val="0"/>
        <color rgb="FFFF3B30"/>
      </font>
      <fill>
        <patternFill patternType="solid">
          <fgColor indexed="64"/>
          <bgColor rgb="FFFFF0EF"/>
        </patternFill>
      </fill>
    </dxf>
    <dxf>
      <font>
        <color rgb="FF34C759"/>
      </font>
      <fill>
        <patternFill patternType="solid">
          <fgColor indexed="64"/>
          <bgColor rgb="FFE8F8ED"/>
        </patternFill>
      </fill>
    </dxf>
    <dxf>
      <font>
        <color rgb="FFFFCC00"/>
      </font>
      <fill>
        <patternFill patternType="solid">
          <fgColor indexed="64"/>
          <bgColor rgb="FFFFFEF0"/>
        </patternFill>
      </fill>
    </dxf>
    <dxf>
      <font>
        <b/>
        <i val="0"/>
        <color rgb="FFFF3B30"/>
      </font>
      <fill>
        <patternFill patternType="solid">
          <fgColor indexed="64"/>
          <bgColor rgb="FFFFF0EF"/>
        </patternFill>
      </fill>
    </dxf>
    <dxf>
      <font>
        <color rgb="FFFF3B30"/>
      </font>
      <fill>
        <patternFill patternType="solid">
          <fgColor indexed="64"/>
          <bgColor rgb="FFFFF0EF"/>
        </patternFill>
      </fill>
    </dxf>
    <dxf>
      <font>
        <color rgb="FF34C759"/>
      </font>
      <fill>
        <patternFill patternType="solid">
          <fgColor indexed="64"/>
          <bgColor rgb="FFE8F8ED"/>
        </patternFill>
      </fill>
    </dxf>
    <dxf>
      <font>
        <color rgb="FF86868B"/>
      </font>
      <fill>
        <patternFill patternType="solid">
          <fgColor indexed="64"/>
          <bgColor rgb="FFF0F0F2"/>
        </patternFill>
      </fill>
    </dxf>
    <dxf>
      <font>
        <color rgb="FFFF3B30"/>
      </font>
      <fill>
        <patternFill patternType="solid">
          <fgColor indexed="64"/>
          <bgColor rgb="FFFFF0EF"/>
        </patternFill>
      </fill>
    </dxf>
    <dxf>
      <font>
        <color rgb="FF34C759"/>
      </font>
      <fill>
        <patternFill patternType="solid">
          <fgColor indexed="64"/>
          <bgColor rgb="FFE8F8ED"/>
        </patternFill>
      </fill>
    </dxf>
    <dxf>
      <font>
        <color rgb="FFFF3B30"/>
      </font>
      <fill>
        <patternFill patternType="solid">
          <fgColor indexed="64"/>
          <bgColor rgb="FFFFF0EF"/>
        </patternFill>
      </fill>
    </dxf>
    <dxf>
      <font>
        <b/>
        <i val="0"/>
        <color rgb="FFFF3B30"/>
      </font>
    </dxf>
    <dxf>
      <font>
        <color rgb="FF0071E3"/>
      </font>
    </dxf>
    <dxf>
      <font>
        <color rgb="FFFF3B30"/>
      </font>
    </dxf>
    <dxf>
      <font>
        <color rgb="FF34C759"/>
      </font>
    </dxf>
    <dxf>
      <fill>
        <patternFill patternType="solid">
          <fgColor indexed="64"/>
          <bgColor rgb="FFF5F5F7"/>
        </patternFill>
      </fill>
    </dxf>
    <dxf>
      <fill>
        <patternFill patternType="solid">
          <fgColor indexed="64"/>
          <bgColor rgb="FFF5F5F7"/>
        </patternFill>
      </fill>
    </dxf>
    <dxf>
      <fill>
        <patternFill patternType="solid">
          <fgColor indexed="64"/>
          <bgColor rgb="FFF5F5F7"/>
        </patternFill>
      </fill>
    </dxf>
    <dxf>
      <fill>
        <patternFill patternType="solid">
          <fgColor indexed="64"/>
          <bgColor rgb="FFF5F5F7"/>
        </patternFill>
      </fill>
    </dxf>
    <dxf>
      <fill>
        <patternFill patternType="solid">
          <fgColor indexed="64"/>
          <bgColor rgb="FFF5F5F7"/>
        </patternFill>
      </fill>
    </dxf>
    <dxf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numFmt numFmtId="27" formatCode="dd/mm/yyyy\ hh:mm"/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sz val="9"/>
        <color rgb="FF1D1D1F"/>
        <name val="Segoe UI"/>
      </font>
      <fill>
        <patternFill patternType="solid">
          <fgColor indexed="64"/>
          <bgColor rgb="FFF5F5F7"/>
        </patternFill>
      </fill>
    </dxf>
    <dxf>
      <font>
        <b/>
        <sz val="10"/>
        <color rgb="FFFFFFFF"/>
        <name val="Segoe UI"/>
      </font>
      <fill>
        <patternFill patternType="solid">
          <fgColor indexed="64"/>
          <bgColor rgb="FFF5F5F7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71E3"/>
            </a:solidFill>
            <a:ln>
              <a:noFill/>
            </a:ln>
            <a:effectLst/>
          </c:spPr>
          <c:invertIfNegative val="0"/>
          <c:cat>
            <c:strRef>
              <c:f>Dashboard!$I$18:$I$24</c:f>
              <c:strCache>
                <c:ptCount val="7"/>
                <c:pt idx="0">
                  <c:v>Delivered</c:v>
                </c:pt>
                <c:pt idx="1">
                  <c:v>In Transit</c:v>
                </c:pt>
                <c:pt idx="2">
                  <c:v>Delayed</c:v>
                </c:pt>
                <c:pt idx="3">
                  <c:v>At FF</c:v>
                </c:pt>
                <c:pt idx="4">
                  <c:v>At Airline</c:v>
                </c:pt>
                <c:pt idx="5">
                  <c:v>OTG</c:v>
                </c:pt>
                <c:pt idx="6">
                  <c:v>Exception</c:v>
                </c:pt>
              </c:strCache>
            </c:strRef>
          </c:cat>
          <c:val>
            <c:numRef>
              <c:f>Dashboard!$J$18:$J$24</c:f>
              <c:numCache>
                <c:formatCode>General</c:formatCode>
                <c:ptCount val="7"/>
                <c:pt idx="0">
                  <c:v>140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F-482F-9302-474678200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9291360"/>
        <c:axId val="1779285600"/>
      </c:barChart>
      <c:catAx>
        <c:axId val="177929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5E5E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6868B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79285600"/>
        <c:crosses val="autoZero"/>
        <c:auto val="1"/>
        <c:lblAlgn val="ctr"/>
        <c:lblOffset val="100"/>
        <c:noMultiLvlLbl val="0"/>
      </c:catAx>
      <c:valAx>
        <c:axId val="177928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0F0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5E5E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6868B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7929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7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Dashboard!$J$28</c:f>
              <c:strCache>
                <c:ptCount val="1"/>
                <c:pt idx="0">
                  <c:v>Shipments</c:v>
                </c:pt>
              </c:strCache>
            </c:strRef>
          </c:tx>
          <c:spPr>
            <a:solidFill>
              <a:srgbClr val="0071E3"/>
            </a:solidFill>
            <a:ln>
              <a:noFill/>
            </a:ln>
            <a:effectLst/>
          </c:spPr>
          <c:invertIfNegative val="0"/>
          <c:cat>
            <c:strRef>
              <c:f>Dashboard!$I$29:$I$34</c:f>
              <c:strCache>
                <c:ptCount val="6"/>
                <c:pt idx="0">
                  <c:v>DHL</c:v>
                </c:pt>
                <c:pt idx="1">
                  <c:v>UPS</c:v>
                </c:pt>
                <c:pt idx="2">
                  <c:v>FedEx</c:v>
                </c:pt>
                <c:pt idx="3">
                  <c:v>Kuehne+Nagel</c:v>
                </c:pt>
                <c:pt idx="4">
                  <c:v>DB Schenker</c:v>
                </c:pt>
                <c:pt idx="5">
                  <c:v>Maersk</c:v>
                </c:pt>
              </c:strCache>
            </c:strRef>
          </c:cat>
          <c:val>
            <c:numRef>
              <c:f>Dashboard!$J$29:$J$34</c:f>
              <c:numCache>
                <c:formatCode>General</c:formatCode>
                <c:ptCount val="6"/>
                <c:pt idx="0">
                  <c:v>29</c:v>
                </c:pt>
                <c:pt idx="1">
                  <c:v>23</c:v>
                </c:pt>
                <c:pt idx="2">
                  <c:v>29</c:v>
                </c:pt>
                <c:pt idx="3">
                  <c:v>19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4-4D7B-BD69-238158E24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430000"/>
        <c:axId val="2002429040"/>
      </c:barChart>
      <c:catAx>
        <c:axId val="200243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5E5E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6868B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002429040"/>
        <c:crosses val="autoZero"/>
        <c:auto val="1"/>
        <c:lblAlgn val="ctr"/>
        <c:lblOffset val="100"/>
        <c:noMultiLvlLbl val="0"/>
      </c:catAx>
      <c:valAx>
        <c:axId val="200242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0F0F2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5E5EA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6868B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00243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7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 On-Time Delivery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'Carrier Performance'!$B$10</c:f>
              <c:strCache>
                <c:ptCount val="1"/>
                <c:pt idx="0">
                  <c:v>Total 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'Carrier Performance'!$A$11:$A$16</c:f>
              <c:strCache>
                <c:ptCount val="6"/>
                <c:pt idx="0">
                  <c:v>DHL</c:v>
                </c:pt>
                <c:pt idx="1">
                  <c:v>UPS</c:v>
                </c:pt>
                <c:pt idx="2">
                  <c:v>FedEx</c:v>
                </c:pt>
                <c:pt idx="3">
                  <c:v>Kuehne+Nagel</c:v>
                </c:pt>
                <c:pt idx="4">
                  <c:v>DB Schenker</c:v>
                </c:pt>
                <c:pt idx="5">
                  <c:v>Maersk</c:v>
                </c:pt>
              </c:strCache>
            </c:strRef>
          </c:cat>
          <c:val>
            <c:numRef>
              <c:f>'Carrier Performance'!$B$11:$B$16</c:f>
              <c:numCache>
                <c:formatCode>General</c:formatCode>
                <c:ptCount val="6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C-40E7-821E-5317257244E2}"/>
            </c:ext>
          </c:extLst>
        </c:ser>
        <c:ser>
          <c:idx val="1"/>
          <c:order val="1"/>
          <c:tx>
            <c:strRef>
              <c:f>'Carrier Performance'!$C$10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'Carrier Performance'!$A$11:$A$16</c:f>
              <c:strCache>
                <c:ptCount val="6"/>
                <c:pt idx="0">
                  <c:v>DHL</c:v>
                </c:pt>
                <c:pt idx="1">
                  <c:v>UPS</c:v>
                </c:pt>
                <c:pt idx="2">
                  <c:v>FedEx</c:v>
                </c:pt>
                <c:pt idx="3">
                  <c:v>Kuehne+Nagel</c:v>
                </c:pt>
                <c:pt idx="4">
                  <c:v>DB Schenker</c:v>
                </c:pt>
                <c:pt idx="5">
                  <c:v>Maersk</c:v>
                </c:pt>
              </c:strCache>
            </c:strRef>
          </c:cat>
          <c:val>
            <c:numRef>
              <c:f>'Carrier Performance'!$C$11:$C$16</c:f>
              <c:numCache>
                <c:formatCode>General</c:formatCode>
                <c:ptCount val="6"/>
                <c:pt idx="0" formatCode="0.0%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C-40E7-821E-531725724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445360"/>
        <c:axId val="2002429520"/>
      </c:barChart>
      <c:catAx>
        <c:axId val="200244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29520"/>
        <c:crosses val="autoZero"/>
        <c:auto val="1"/>
        <c:lblAlgn val="ctr"/>
        <c:lblOffset val="100"/>
        <c:noMultiLvlLbl val="0"/>
      </c:catAx>
      <c:valAx>
        <c:axId val="2002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4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D1D1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Pareto Analysis: Damage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D1D1F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'Quality &amp; Loss Damage'!$B$15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'Quality &amp; Loss Damage'!$A$16:$A$20</c:f>
              <c:strCache>
                <c:ptCount val="5"/>
                <c:pt idx="0">
                  <c:v>Transit Shock</c:v>
                </c:pt>
                <c:pt idx="1">
                  <c:v>Handling Error</c:v>
                </c:pt>
                <c:pt idx="2">
                  <c:v>Label Issue</c:v>
                </c:pt>
                <c:pt idx="3">
                  <c:v>Water Damage</c:v>
                </c:pt>
                <c:pt idx="4">
                  <c:v>Packaging Damage</c:v>
                </c:pt>
              </c:strCache>
            </c:strRef>
          </c:cat>
          <c:val>
            <c:numRef>
              <c:f>'Quality &amp; Loss Damage'!$B$16:$B$20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8-4597-ADD7-0E784F221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447760"/>
        <c:axId val="2002449680"/>
      </c:barChart>
      <c:catAx>
        <c:axId val="20024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49680"/>
        <c:crosses val="autoZero"/>
        <c:auto val="1"/>
        <c:lblAlgn val="ctr"/>
        <c:lblOffset val="100"/>
        <c:noMultiLvlLbl val="0"/>
      </c:catAx>
      <c:valAx>
        <c:axId val="20024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4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D1D1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CO₂ Emissions by Carrier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D1D1F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'Green Efficiency'!$B$15</c:f>
              <c:strCache>
                <c:ptCount val="1"/>
                <c:pt idx="0">
                  <c:v>Total CO₂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'Green Efficiency'!$A$16:$A$21</c:f>
              <c:strCache>
                <c:ptCount val="6"/>
                <c:pt idx="0">
                  <c:v>DHL</c:v>
                </c:pt>
                <c:pt idx="1">
                  <c:v>UPS</c:v>
                </c:pt>
                <c:pt idx="2">
                  <c:v>FedEx</c:v>
                </c:pt>
                <c:pt idx="3">
                  <c:v>Kuehne+Nagel</c:v>
                </c:pt>
                <c:pt idx="4">
                  <c:v>DB Schenker</c:v>
                </c:pt>
                <c:pt idx="5">
                  <c:v>Maersk</c:v>
                </c:pt>
              </c:strCache>
            </c:strRef>
          </c:cat>
          <c:val>
            <c:numRef>
              <c:f>'Green Efficiency'!$B$16:$B$21</c:f>
              <c:numCache>
                <c:formatCode>#,##0</c:formatCode>
                <c:ptCount val="6"/>
                <c:pt idx="0">
                  <c:v>12812.699999999997</c:v>
                </c:pt>
                <c:pt idx="1">
                  <c:v>10126</c:v>
                </c:pt>
                <c:pt idx="2">
                  <c:v>11807.400000000001</c:v>
                </c:pt>
                <c:pt idx="3">
                  <c:v>8418.9</c:v>
                </c:pt>
                <c:pt idx="4">
                  <c:v>10713.099999999999</c:v>
                </c:pt>
                <c:pt idx="5">
                  <c:v>9150.4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F-4B8C-B098-33E1E56B5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450640"/>
        <c:axId val="2002451120"/>
      </c:barChart>
      <c:catAx>
        <c:axId val="200245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51120"/>
        <c:crosses val="autoZero"/>
        <c:auto val="1"/>
        <c:lblAlgn val="ctr"/>
        <c:lblOffset val="100"/>
        <c:noMultiLvlLbl val="0"/>
      </c:catAx>
      <c:valAx>
        <c:axId val="20024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5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StatusChart">
          <a:extLst>
            <a:ext uri="{FF2B5EF4-FFF2-40B4-BE49-F238E27FC236}">
              <a16:creationId xmlns:a16="http://schemas.microsoft.com/office/drawing/2014/main" id="{64C3CDC1-E4B9-DF97-84B2-A3CEFA396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3" name="CarrierChart">
          <a:extLst>
            <a:ext uri="{FF2B5EF4-FFF2-40B4-BE49-F238E27FC236}">
              <a16:creationId xmlns:a16="http://schemas.microsoft.com/office/drawing/2014/main" id="{8A9E71F2-BE56-5B9E-C1D7-81F6AAA3A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127000</xdr:colOff>
      <xdr:row>0</xdr:row>
      <xdr:rowOff>38100</xdr:rowOff>
    </xdr:from>
    <xdr:to>
      <xdr:col>0</xdr:col>
      <xdr:colOff>660400</xdr:colOff>
      <xdr:row>0</xdr:row>
      <xdr:rowOff>571500</xdr:rowOff>
    </xdr:to>
    <xdr:pic>
      <xdr:nvPicPr>
        <xdr:cNvPr id="9" name="AppleLogo">
          <a:extLst>
            <a:ext uri="{FF2B5EF4-FFF2-40B4-BE49-F238E27FC236}">
              <a16:creationId xmlns:a16="http://schemas.microsoft.com/office/drawing/2014/main" id="{ABF48C05-9473-E51C-C397-D3836003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" y="38100"/>
          <a:ext cx="5334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arrierOnTimeChart">
          <a:extLst>
            <a:ext uri="{FF2B5EF4-FFF2-40B4-BE49-F238E27FC236}">
              <a16:creationId xmlns:a16="http://schemas.microsoft.com/office/drawing/2014/main" id="{77E6EAD5-23A1-6334-50D0-8D1B4E576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ParetoChart">
          <a:extLst>
            <a:ext uri="{FF2B5EF4-FFF2-40B4-BE49-F238E27FC236}">
              <a16:creationId xmlns:a16="http://schemas.microsoft.com/office/drawing/2014/main" id="{B29B681D-CA36-8FD4-F468-D2BB2AB4B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O2ByCarrierChart">
          <a:extLst>
            <a:ext uri="{FF2B5EF4-FFF2-40B4-BE49-F238E27FC236}">
              <a16:creationId xmlns:a16="http://schemas.microsoft.com/office/drawing/2014/main" id="{754C8DE8-243A-2626-9A94-C6DF6EF5C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768E-9A27-447F-BB96-F560FBA86881}" name="Shipments" displayName="Shipments" ref="A4:X154" totalsRowShown="0" headerRowDxfId="50" dataDxfId="49">
  <autoFilter ref="A4:X154" xr:uid="{4948768E-9A27-447F-BB96-F560FBA86881}"/>
  <tableColumns count="24">
    <tableColumn id="1" xr3:uid="{9CD2C153-8A76-4D36-AE38-CCC28B394ADF}" name="Shipment ID" dataDxfId="48"/>
    <tableColumn id="2" xr3:uid="{81AEA80B-EE1D-4524-8970-909765E00188}" name="Origin" dataDxfId="47"/>
    <tableColumn id="3" xr3:uid="{B15D9DED-AB1A-40FD-BCA2-6EA14AA94DAA}" name="Status" dataDxfId="46"/>
    <tableColumn id="4" xr3:uid="{74D7B1C5-2401-4D5C-B02F-CEDA9AD577DA}" name="ETD" dataDxfId="45"/>
    <tableColumn id="5" xr3:uid="{FF6CB273-D636-4A1E-A61B-02FFBA520C98}" name="ETG" dataDxfId="44"/>
    <tableColumn id="6" xr3:uid="{1018F949-B1A6-492C-A7ED-525BB429EAA0}" name="ETA" dataDxfId="43"/>
    <tableColumn id="7" xr3:uid="{D95BE51F-E10D-4868-B9CC-58A079A93413}" name="ATD" dataDxfId="42"/>
    <tableColumn id="8" xr3:uid="{2A1D9364-D31E-4AF6-89AA-D1CCED6E5023}" name="ATG" dataDxfId="41"/>
    <tableColumn id="9" xr3:uid="{0E9D6D0E-ECA1-4284-B5E9-25917D703366}" name="ATA" dataDxfId="40"/>
    <tableColumn id="10" xr3:uid="{5AC365E9-0EF2-4A3A-99E9-C5D1F091D2FE}" name="Carrier" dataDxfId="39"/>
    <tableColumn id="11" xr3:uid="{178EA47A-2386-4395-8CE9-FA449FA1972C}" name="Flight/Vessel" dataDxfId="38"/>
    <tableColumn id="12" xr3:uid="{08D854E1-D66C-4B40-B6FA-E7E0A3FCC24C}" name="Allocation Type" dataDxfId="37"/>
    <tableColumn id="13" xr3:uid="{AD13F0EF-8206-41D3-989F-B7E2198ABA1A}" name="Final Mile SLA (hours)" dataDxfId="36"/>
    <tableColumn id="14" xr3:uid="{60515A37-0A1E-48F0-A59F-5E867302E5EC}" name="Damage Flag" dataDxfId="35"/>
    <tableColumn id="15" xr3:uid="{21A6EF71-C2CA-4EBD-A16D-FD543341614F}" name="Damage Reason" dataDxfId="34"/>
    <tableColumn id="16" xr3:uid="{83554FA8-1967-41B6-AFEC-42AB5121FFB6}" name="CO₂ Estimate (kg)" dataDxfId="33"/>
    <tableColumn id="17" xr3:uid="{0D676254-8B05-4B26-BF44-659E9C574D7C}" name="Risk Score" dataDxfId="32"/>
    <tableColumn id="18" xr3:uid="{1D00E5EC-9AE1-4969-A861-08588A3CEB4D}" name="Last Updated" dataDxfId="31"/>
    <tableColumn id="19" xr3:uid="{96A1EDFB-A6CC-405C-BF4B-65CC1C41E222}" name="OnTimeStatus" dataDxfId="30">
      <calculatedColumnFormula>IF(Shipments[[#This Row],[ATA]]&lt;&gt;"", IF(Shipments[[#This Row],[ATA]]&lt;=Shipments[[#This Row],[ETA]],"On Time","Late"), IF(Shipments[[#This Row],[Status]]="Delivered","On Time","Pending"))</calculatedColumnFormula>
    </tableColumn>
    <tableColumn id="20" xr3:uid="{3943B012-BF1E-4874-B14D-399D4B2811F2}" name="RiskScoreCalc" dataDxfId="29">
      <calculatedColumnFormula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calculatedColumnFormula>
    </tableColumn>
    <tableColumn id="21" xr3:uid="{A3440DA9-2375-4DAF-B95D-00976D4AF9D8}" name="DaysToETA" dataDxfId="28">
      <calculatedColumnFormula>IF(Shipments[[#This Row],[ETA]]&lt;&gt;"", Shipments[[#This Row],[ETA]]-TODAY(), "")</calculatedColumnFormula>
    </tableColumn>
    <tableColumn id="22" xr3:uid="{22F00BCB-233D-4DCF-A8DE-C9B34B4F1FBB}" name="CarrierScore" dataDxfId="27">
      <calculatedColumnFormula>_xlfn.XLOOKUP(Shipments[[#This Row],[Carrier]], CarrierRef[Carrier], CarrierRef[BaseOnTime], "N/A")</calculatedColumnFormula>
    </tableColumn>
    <tableColumn id="23" xr3:uid="{981BAA78-3A64-4874-BA30-BD0C7D782942}" name="AllocationCompliance" dataDxfId="26">
      <calculatedColumnFormula>IF(Shipments[[#This Row],[Allocation Type]]="AppleCare", IF(ISNUMBER(SEARCH("AppleCare", Shipments[[#This Row],[Carrier]])), "Compliant", "Liability Risk"), "Compliant")</calculatedColumnFormula>
    </tableColumn>
    <tableColumn id="24" xr3:uid="{EFBAF7C8-99D9-40A5-B727-D4D54F3CC647}" name="GreenEfficiencyIndex" dataDxfId="25">
      <calculatedColumnFormula>ROUND(100 - ((Shipments[[#This Row],[CO₂ Estimate (kg)]]/500)*40) - (Shipments[[#This Row],[RiskScoreCalc]]/3), 0)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577CC-9CDC-4408-A167-69E6B784EED4}" name="CarrierRef" displayName="CarrierRef" ref="AH4:AK10" totalsRowShown="0" headerRowDxfId="24" dataDxfId="23">
  <autoFilter ref="AH4:AK10" xr:uid="{6B3577CC-9CDC-4408-A167-69E6B784EED4}"/>
  <tableColumns count="4">
    <tableColumn id="1" xr3:uid="{04FCA8EB-4522-4D77-A059-B3A8BCA845F3}" name="Carrier" dataDxfId="22"/>
    <tableColumn id="2" xr3:uid="{7BD2B357-C053-43EF-B738-D75E6B04A465}" name="BaseOnTime" dataDxfId="21"/>
    <tableColumn id="3" xr3:uid="{348B651D-868E-4406-A406-D236EEDCE24F}" name="BaseDamageRate" dataDxfId="20"/>
    <tableColumn id="4" xr3:uid="{F19FCD02-5116-4464-A24C-6BD4B588C6BC}" name="BaseGreenScor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DEFD0B-47C6-4E68-9FAF-A5E9469A9B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4d8b6b8-46f8-457c-9284-8de96ffcbc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3491-5D4D-45B3-8710-D937AEEECA8F}">
  <sheetPr>
    <tabColor rgb="FF0071E3"/>
    <pageSetUpPr fitToPage="1"/>
  </sheetPr>
  <dimension ref="A1:O34"/>
  <sheetViews>
    <sheetView zoomScale="67" workbookViewId="0">
      <selection activeCell="D6" sqref="D6"/>
    </sheetView>
  </sheetViews>
  <sheetFormatPr defaultRowHeight="14.4" x14ac:dyDescent="0.3"/>
  <cols>
    <col min="1" max="1" width="28.6640625" style="1" customWidth="1"/>
    <col min="2" max="2" width="16.6640625" style="1" customWidth="1"/>
    <col min="3" max="3" width="14.77734375" style="1" customWidth="1"/>
    <col min="4" max="4" width="20.33203125" style="1" customWidth="1"/>
    <col min="5" max="5" width="14.77734375" style="1" customWidth="1"/>
    <col min="6" max="7" width="13" style="1" customWidth="1"/>
    <col min="8" max="8" width="2.77734375" style="1" customWidth="1"/>
    <col min="9" max="9" width="20.33203125" style="1" customWidth="1"/>
    <col min="10" max="12" width="14.77734375" style="1" customWidth="1"/>
    <col min="13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352</v>
      </c>
    </row>
    <row r="7" spans="1:15" ht="22.05" customHeight="1" x14ac:dyDescent="0.3">
      <c r="A7" s="126" t="s">
        <v>353</v>
      </c>
      <c r="B7" s="138"/>
      <c r="C7" s="139"/>
      <c r="D7" s="126" t="s">
        <v>354</v>
      </c>
      <c r="E7" s="138"/>
      <c r="F7" s="139"/>
      <c r="G7" s="126" t="s">
        <v>355</v>
      </c>
      <c r="H7" s="138"/>
      <c r="I7" s="138"/>
      <c r="J7" s="139"/>
      <c r="K7" s="126" t="s">
        <v>356</v>
      </c>
      <c r="L7" s="138"/>
      <c r="M7" s="138"/>
      <c r="N7" s="139"/>
    </row>
    <row r="8" spans="1:15" ht="40.049999999999997" customHeight="1" x14ac:dyDescent="0.75">
      <c r="A8" s="143">
        <f>COUNTIFS(Shipments[OnTimeStatus],"On Time")/COUNTA(Shipments[Shipment ID])</f>
        <v>0.17333333333333334</v>
      </c>
      <c r="B8" s="144"/>
      <c r="C8" s="145"/>
      <c r="D8" s="140">
        <f>COUNTIF(Shipments[RiskScoreCalc],"&gt;70")</f>
        <v>150</v>
      </c>
      <c r="E8" s="141"/>
      <c r="F8" s="142"/>
      <c r="G8" s="146">
        <f>COUNTIFS(Shipments[Status],"&lt;&gt;Delivered")</f>
        <v>10</v>
      </c>
      <c r="H8" s="147"/>
      <c r="I8" s="147"/>
      <c r="J8" s="148"/>
      <c r="K8" s="149">
        <f>AVERAGE(Shipments[GreenEfficiencyIndex])</f>
        <v>30.093333333333334</v>
      </c>
      <c r="L8" s="150"/>
      <c r="M8" s="150"/>
      <c r="N8" s="151"/>
    </row>
    <row r="9" spans="1:15" ht="22.05" customHeight="1" x14ac:dyDescent="0.3">
      <c r="A9" s="135" t="str">
        <f>COUNTIFS(Shipments[OnTimeStatus],"On Time")&amp;" of "&amp;COUNTA(Shipments[Shipment ID])&amp;" shipments"</f>
        <v>26 of 150 shipments</v>
      </c>
      <c r="B9" s="136"/>
      <c r="C9" s="137"/>
      <c r="D9" s="135" t="str">
        <f>TEXT(COUNTIF(Shipments[RiskScoreCalc],"&gt;70")/COUNTA(Shipments[Shipment ID]),"0.0%")&amp;" of total fleet"</f>
        <v>100.0% of total fleet</v>
      </c>
      <c r="E9" s="136"/>
      <c r="F9" s="137"/>
      <c r="G9" s="135" t="str">
        <f>"In Transit: "&amp;COUNTIF(Shipments[Status],"In Transit")&amp;"  |  Delayed: "&amp;COUNTIF(Shipments[Status],"Delayed")&amp;"  |  Exception: "&amp;COUNTIF(Shipments[Status],"Exception")</f>
        <v>In Transit: 2  |  Delayed: 1  |  Exception: 2</v>
      </c>
      <c r="H9" s="136"/>
      <c r="I9" s="136"/>
      <c r="J9" s="137"/>
      <c r="K9" s="135" t="str">
        <f>"Min: "&amp;MIN(Shipments[GreenEfficiencyIndex])&amp;"  |  Max: "&amp;MAX(Shipments[GreenEfficiencyIndex])</f>
        <v>Min: 1  |  Max: 52</v>
      </c>
      <c r="L9" s="136"/>
      <c r="M9" s="136"/>
      <c r="N9" s="137"/>
    </row>
    <row r="10" spans="1:15" ht="7.95" customHeight="1" x14ac:dyDescent="0.3"/>
    <row r="11" spans="1:15" ht="22.05" customHeight="1" x14ac:dyDescent="0.3">
      <c r="A11" s="126" t="s">
        <v>357</v>
      </c>
      <c r="B11" s="138"/>
      <c r="C11" s="139"/>
      <c r="D11" s="126" t="s">
        <v>358</v>
      </c>
      <c r="E11" s="138"/>
      <c r="F11" s="139"/>
      <c r="G11" s="126" t="s">
        <v>359</v>
      </c>
      <c r="H11" s="138"/>
      <c r="I11" s="138"/>
      <c r="J11" s="139"/>
      <c r="K11" s="126" t="s">
        <v>360</v>
      </c>
      <c r="L11" s="138"/>
      <c r="M11" s="138"/>
      <c r="N11" s="139"/>
    </row>
    <row r="12" spans="1:15" ht="40.049999999999997" customHeight="1" x14ac:dyDescent="0.75">
      <c r="A12" s="152">
        <f>COUNTIF(Shipments[Damage Flag],"Yes")/COUNTA(Shipments[Shipment ID])</f>
        <v>0.1</v>
      </c>
      <c r="B12" s="153"/>
      <c r="C12" s="154"/>
      <c r="D12" s="155">
        <f>SUM(Shipments[CO₂ Estimate (kg)])</f>
        <v>63028.500000000022</v>
      </c>
      <c r="E12" s="156"/>
      <c r="F12" s="157"/>
      <c r="G12" s="143">
        <f>COUNTIF(Shipments[AllocationCompliance],"Compliant")/COUNTA(Shipments[Shipment ID])</f>
        <v>0.51333333333333331</v>
      </c>
      <c r="H12" s="144"/>
      <c r="I12" s="144"/>
      <c r="J12" s="145"/>
      <c r="K12" s="152">
        <f>COUNTIF(Shipments[Final Mile SLA (hours)],"&lt;0")/COUNTA(Shipments[Shipment ID])</f>
        <v>0.27333333333333332</v>
      </c>
      <c r="L12" s="153"/>
      <c r="M12" s="153"/>
      <c r="N12" s="154"/>
    </row>
    <row r="13" spans="1:15" ht="22.05" customHeight="1" x14ac:dyDescent="0.3">
      <c r="A13" s="135" t="str">
        <f>COUNTIF(Shipments[Damage Flag],"Yes")&amp;" damaged shipments"</f>
        <v>15 damaged shipments</v>
      </c>
      <c r="B13" s="136"/>
      <c r="C13" s="137"/>
      <c r="D13" s="135" t="str">
        <f>"Avg per shipment: "&amp;TEXT(AVERAGE(Shipments[CO₂ Estimate (kg)]),"#,##0")&amp;" kg"</f>
        <v>Avg per shipment: 420 kg</v>
      </c>
      <c r="E13" s="136"/>
      <c r="F13" s="137"/>
      <c r="G13" s="135" t="str">
        <f>COUNTIF(Shipments[AllocationCompliance],"Liability Risk")&amp;" liability risks flagged"</f>
        <v>73 liability risks flagged</v>
      </c>
      <c r="H13" s="136"/>
      <c r="I13" s="136"/>
      <c r="J13" s="137"/>
      <c r="K13" s="135" t="str">
        <f>COUNTIF(Shipments[Final Mile SLA (hours)],"&lt;0")&amp;" SLA breaches detected"</f>
        <v>41 SLA breaches detected</v>
      </c>
      <c r="L13" s="136"/>
      <c r="M13" s="136"/>
      <c r="N13" s="137"/>
    </row>
    <row r="14" spans="1:15" ht="12" customHeight="1" x14ac:dyDescent="0.3"/>
    <row r="15" spans="1:15" ht="19.2" x14ac:dyDescent="0.45">
      <c r="A15" s="20" t="s">
        <v>361</v>
      </c>
      <c r="I15" s="20" t="s">
        <v>364</v>
      </c>
    </row>
    <row r="17" spans="1:12" x14ac:dyDescent="0.3">
      <c r="A17" s="21" t="s">
        <v>0</v>
      </c>
      <c r="B17" s="21" t="s">
        <v>1</v>
      </c>
      <c r="C17" s="21" t="s">
        <v>2</v>
      </c>
      <c r="D17" s="21" t="s">
        <v>9</v>
      </c>
      <c r="E17" s="21" t="s">
        <v>16</v>
      </c>
      <c r="F17" s="21" t="s">
        <v>362</v>
      </c>
      <c r="G17" s="21" t="s">
        <v>363</v>
      </c>
      <c r="I17" s="21" t="s">
        <v>2</v>
      </c>
      <c r="J17" s="21" t="s">
        <v>365</v>
      </c>
      <c r="K17" s="21" t="s">
        <v>366</v>
      </c>
    </row>
    <row r="18" spans="1:12" x14ac:dyDescent="0.3">
      <c r="A18" s="25" t="str" cm="1">
        <f t="array" ref="A18">IFERROR(INDEX(_xlfn._xlws.SORT(_xlfn._xlws.FILTER(Shipments[[Shipment ID]:[Shipment ID]], Shipments[RiskScoreCalc]&gt;60),1,1), ROW()-17), "")</f>
        <v>SH-20260401-1000</v>
      </c>
      <c r="B18" s="25" t="str" cm="1">
        <f t="array" ref="B18">IFERROR(INDEX(_xlfn._xlws.SORT(_xlfn._xlws.FILTER(Shipments[Origin], Shipments[RiskScoreCalc]&gt;60),1,1), ROW()-17), "")</f>
        <v>BYD</v>
      </c>
      <c r="C18" s="25" t="str" cm="1">
        <f t="array" ref="C18">IFERROR(INDEX(_xlfn._xlws.SORT(_xlfn._xlws.FILTER(Shipments[Status], Shipments[RiskScoreCalc]&gt;60),1,1), ROW()-17), "")</f>
        <v>At Airline</v>
      </c>
      <c r="D18" s="25" t="str" cm="1">
        <f t="array" ref="D18">IFERROR(INDEX(_xlfn._xlws.SORT(_xlfn._xlws.FILTER(Shipments[Carrier], Shipments[RiskScoreCalc]&gt;60),1,1), ROW()-17), "")</f>
        <v>DB Schenker</v>
      </c>
      <c r="E18" s="26" cm="1">
        <f t="array" ref="E18">IFERROR(INDEX(_xlfn._xlws.SORT(_xlfn._xlws.FILTER(Shipments[RiskScoreCalc], Shipments[RiskScoreCalc]&gt;60),1,-1), ROW()-17), "")</f>
        <v>167.8</v>
      </c>
      <c r="F18" s="25" cm="1">
        <f t="array" ref="F18">IFERROR(INDEX(_xlfn._xlws.SORT(_xlfn._xlws.FILTER(Shipments[Final Mile SLA (hours)], Shipments[RiskScoreCalc]&gt;60),1,1), ROW()-17), "")</f>
        <v>-46</v>
      </c>
      <c r="G18" s="25" t="str" cm="1">
        <f t="array" ref="G18">IFERROR(INDEX(_xlfn._xlws.SORT(_xlfn._xlws.FILTER(Shipments[Damage Flag], Shipments[RiskScoreCalc]&gt;60),1,1), ROW()-17), "")</f>
        <v>No</v>
      </c>
      <c r="I18" s="22" t="s">
        <v>20</v>
      </c>
      <c r="J18" s="29">
        <f>COUNTIF(Shipments[Status],I18)</f>
        <v>140</v>
      </c>
      <c r="K18" s="30">
        <f t="shared" ref="K18:K24" si="0">J18/SUM($J$18:$J$24)</f>
        <v>0.93333333333333335</v>
      </c>
    </row>
    <row r="19" spans="1:12" x14ac:dyDescent="0.3">
      <c r="A19" s="24" t="s">
        <v>361</v>
      </c>
      <c r="B19" s="22"/>
      <c r="C19" s="22"/>
      <c r="D19" s="22"/>
      <c r="E19" s="22"/>
      <c r="F19" s="22"/>
      <c r="G19" s="22"/>
      <c r="I19" s="25" t="s">
        <v>93</v>
      </c>
      <c r="J19" s="31">
        <f>COUNTIF(Shipments[Status],I19)</f>
        <v>2</v>
      </c>
      <c r="K19" s="32">
        <f t="shared" si="0"/>
        <v>1.3333333333333334E-2</v>
      </c>
    </row>
    <row r="20" spans="1:12" x14ac:dyDescent="0.3">
      <c r="A20" s="25"/>
      <c r="B20" s="25"/>
      <c r="C20" s="25"/>
      <c r="D20" s="25"/>
      <c r="E20" s="25"/>
      <c r="F20" s="25"/>
      <c r="G20" s="25"/>
      <c r="I20" s="33" t="s">
        <v>131</v>
      </c>
      <c r="J20" s="34">
        <f>COUNTIF(Shipments[Status],I20)</f>
        <v>1</v>
      </c>
      <c r="K20" s="35">
        <f t="shared" si="0"/>
        <v>6.6666666666666671E-3</v>
      </c>
    </row>
    <row r="21" spans="1:12" x14ac:dyDescent="0.3">
      <c r="A21" s="27" t="s">
        <v>0</v>
      </c>
      <c r="B21" s="27" t="s">
        <v>1</v>
      </c>
      <c r="C21" s="27" t="s">
        <v>2</v>
      </c>
      <c r="D21" s="27" t="s">
        <v>9</v>
      </c>
      <c r="E21" s="27" t="s">
        <v>16</v>
      </c>
      <c r="F21" s="27" t="s">
        <v>362</v>
      </c>
      <c r="G21" s="27" t="s">
        <v>363</v>
      </c>
      <c r="I21" s="25" t="s">
        <v>126</v>
      </c>
      <c r="J21" s="31">
        <f>COUNTIF(Shipments[Status],I21)</f>
        <v>3</v>
      </c>
      <c r="K21" s="32">
        <f t="shared" si="0"/>
        <v>0.02</v>
      </c>
    </row>
    <row r="22" spans="1:12" x14ac:dyDescent="0.3">
      <c r="A22" s="25" t="str" cm="1">
        <f t="array" ref="A22">IFERROR(INDEX(_xlfn._xlws.SORT(_xlfn._xlws.FILTER(Shipments[[Shipment ID]:[Shipment ID]], Shipments[RiskScoreCalc]&gt;60),1,1), ROW()-17), "")</f>
        <v>SH-20260401-1120</v>
      </c>
      <c r="B22" s="25" t="str" cm="1">
        <f t="array" ref="B22">IFERROR(INDEX(_xlfn._xlws.SORT(_xlfn._xlws.FILTER(Shipments[Origin], Shipments[RiskScoreCalc]&gt;60),1,1), ROW()-17), "")</f>
        <v>BYD</v>
      </c>
      <c r="C22" s="25" t="str" cm="1">
        <f t="array" ref="C22">IFERROR(INDEX(_xlfn._xlws.SORT(_xlfn._xlws.FILTER(Shipments[Status], Shipments[RiskScoreCalc]&gt;60),1,1), ROW()-17), "")</f>
        <v>Delayed</v>
      </c>
      <c r="D22" s="25" t="str" cm="1">
        <f t="array" ref="D22">IFERROR(INDEX(_xlfn._xlws.SORT(_xlfn._xlws.FILTER(Shipments[Carrier], Shipments[RiskScoreCalc]&gt;60),1,1), ROW()-17), "")</f>
        <v>DB Schenker</v>
      </c>
      <c r="E22" s="26" cm="1">
        <f t="array" ref="E22">IFERROR(INDEX(_xlfn._xlws.SORT(_xlfn._xlws.FILTER(Shipments[RiskScoreCalc], Shipments[RiskScoreCalc]&gt;60),1,-1), ROW()-17), "")</f>
        <v>146.19999999999999</v>
      </c>
      <c r="F22" s="25" cm="1">
        <f t="array" ref="F22">IFERROR(INDEX(_xlfn._xlws.SORT(_xlfn._xlws.FILTER(Shipments[Final Mile SLA (hours)], Shipments[RiskScoreCalc]&gt;60),1,1), ROW()-17), "")</f>
        <v>-40</v>
      </c>
      <c r="G22" s="25" t="str" cm="1">
        <f t="array" ref="G22">IFERROR(INDEX(_xlfn._xlws.SORT(_xlfn._xlws.FILTER(Shipments[Damage Flag], Shipments[RiskScoreCalc]&gt;60),1,1), ROW()-17), "")</f>
        <v>No</v>
      </c>
      <c r="I22" s="22" t="s">
        <v>153</v>
      </c>
      <c r="J22" s="36">
        <f>COUNTIF(Shipments[Status],I22)</f>
        <v>1</v>
      </c>
      <c r="K22" s="37">
        <f t="shared" si="0"/>
        <v>6.6666666666666671E-3</v>
      </c>
    </row>
    <row r="23" spans="1:12" x14ac:dyDescent="0.3">
      <c r="A23" s="22"/>
      <c r="B23" s="22"/>
      <c r="C23" s="22"/>
      <c r="D23" s="22"/>
      <c r="E23" s="22"/>
      <c r="F23" s="22"/>
      <c r="G23" s="22"/>
      <c r="I23" s="38" t="s">
        <v>146</v>
      </c>
      <c r="J23" s="39">
        <f>COUNTIF(Shipments[Status],I23)</f>
        <v>1</v>
      </c>
      <c r="K23" s="40">
        <f t="shared" si="0"/>
        <v>6.6666666666666671E-3</v>
      </c>
    </row>
    <row r="24" spans="1:12" x14ac:dyDescent="0.3">
      <c r="A24" s="25"/>
      <c r="B24" s="25"/>
      <c r="C24" s="25"/>
      <c r="D24" s="25"/>
      <c r="E24" s="25"/>
      <c r="F24" s="25"/>
      <c r="G24" s="25"/>
      <c r="I24" s="41" t="s">
        <v>96</v>
      </c>
      <c r="J24" s="42">
        <f>COUNTIF(Shipments[Status],I24)</f>
        <v>2</v>
      </c>
      <c r="K24" s="43">
        <f t="shared" si="0"/>
        <v>1.3333333333333334E-2</v>
      </c>
    </row>
    <row r="25" spans="1:12" x14ac:dyDescent="0.3">
      <c r="A25" s="22"/>
      <c r="B25" s="22"/>
      <c r="C25" s="22"/>
      <c r="D25" s="22"/>
      <c r="E25" s="22"/>
      <c r="F25" s="22"/>
      <c r="G25" s="22"/>
    </row>
    <row r="26" spans="1:12" ht="19.2" x14ac:dyDescent="0.45">
      <c r="A26" s="25"/>
      <c r="B26" s="25"/>
      <c r="C26" s="25"/>
      <c r="D26" s="25"/>
      <c r="E26" s="25"/>
      <c r="F26" s="25"/>
      <c r="G26" s="25"/>
      <c r="I26" s="20" t="s">
        <v>367</v>
      </c>
    </row>
    <row r="27" spans="1:12" x14ac:dyDescent="0.3">
      <c r="A27" s="22"/>
      <c r="B27" s="22"/>
      <c r="C27" s="22"/>
      <c r="D27" s="22"/>
      <c r="E27" s="22"/>
      <c r="F27" s="22"/>
      <c r="G27" s="22"/>
    </row>
    <row r="28" spans="1:12" x14ac:dyDescent="0.3">
      <c r="A28" s="25"/>
      <c r="B28" s="25"/>
      <c r="C28" s="25"/>
      <c r="D28" s="25"/>
      <c r="E28" s="25"/>
      <c r="F28" s="25"/>
      <c r="G28" s="25"/>
      <c r="I28" s="21" t="s">
        <v>9</v>
      </c>
      <c r="J28" s="21" t="s">
        <v>368</v>
      </c>
      <c r="K28" s="21" t="s">
        <v>369</v>
      </c>
      <c r="L28" s="21" t="s">
        <v>370</v>
      </c>
    </row>
    <row r="29" spans="1:12" x14ac:dyDescent="0.3">
      <c r="A29" s="22"/>
      <c r="B29" s="22"/>
      <c r="C29" s="22"/>
      <c r="D29" s="22"/>
      <c r="E29" s="22"/>
      <c r="F29" s="22"/>
      <c r="G29" s="22"/>
      <c r="I29" s="44" t="s">
        <v>21</v>
      </c>
      <c r="J29" s="44">
        <f>COUNTIF(Shipments[Carrier],I29)</f>
        <v>29</v>
      </c>
      <c r="K29" s="45">
        <f>IFERROR(COUNTIFS(Shipments[Carrier],I29,Shipments[OnTimeStatus],"On Time")/COUNTIF(Shipments[Carrier],I29),0)</f>
        <v>0.13793103448275862</v>
      </c>
      <c r="L29" s="46">
        <f>AVERAGEIF(Shipments[Carrier],I29,Shipments[RiskScoreCalc])</f>
        <v>109.44137931034483</v>
      </c>
    </row>
    <row r="30" spans="1:12" x14ac:dyDescent="0.3">
      <c r="A30" s="25"/>
      <c r="B30" s="25"/>
      <c r="C30" s="25"/>
      <c r="D30" s="25"/>
      <c r="E30" s="25"/>
      <c r="F30" s="25"/>
      <c r="G30" s="25"/>
      <c r="I30" s="47" t="s">
        <v>26</v>
      </c>
      <c r="J30" s="47">
        <f>COUNTIF(Shipments[Carrier],I30)</f>
        <v>23</v>
      </c>
      <c r="K30" s="48">
        <f>IFERROR(COUNTIFS(Shipments[Carrier],I30,Shipments[OnTimeStatus],"On Time")/COUNTIF(Shipments[Carrier],I30),0)</f>
        <v>4.3478260869565216E-2</v>
      </c>
      <c r="L30" s="49">
        <f>AVERAGEIF(Shipments[Carrier],I30,Shipments[RiskScoreCalc])</f>
        <v>106.92173913043477</v>
      </c>
    </row>
    <row r="31" spans="1:12" x14ac:dyDescent="0.3">
      <c r="A31" s="22"/>
      <c r="B31" s="22"/>
      <c r="C31" s="22"/>
      <c r="D31" s="22"/>
      <c r="E31" s="22"/>
      <c r="F31" s="22"/>
      <c r="G31" s="22"/>
      <c r="I31" s="44" t="s">
        <v>40</v>
      </c>
      <c r="J31" s="44">
        <f>COUNTIF(Shipments[Carrier],I31)</f>
        <v>29</v>
      </c>
      <c r="K31" s="45">
        <f>IFERROR(COUNTIFS(Shipments[Carrier],I31,Shipments[OnTimeStatus],"On Time")/COUNTIF(Shipments[Carrier],I31),0)</f>
        <v>0.31034482758620691</v>
      </c>
      <c r="L31" s="46">
        <f>AVERAGEIF(Shipments[Carrier],I31,Shipments[RiskScoreCalc])</f>
        <v>110.75862068965517</v>
      </c>
    </row>
    <row r="32" spans="1:12" x14ac:dyDescent="0.3">
      <c r="A32" s="28"/>
      <c r="B32" s="28"/>
      <c r="C32" s="28"/>
      <c r="D32" s="28"/>
      <c r="E32" s="28"/>
      <c r="F32" s="28"/>
      <c r="G32" s="28"/>
      <c r="I32" s="47" t="s">
        <v>34</v>
      </c>
      <c r="J32" s="47">
        <f>COUNTIF(Shipments[Carrier],I32)</f>
        <v>19</v>
      </c>
      <c r="K32" s="48">
        <f>IFERROR(COUNTIFS(Shipments[Carrier],I32,Shipments[OnTimeStatus],"On Time")/COUNTIF(Shipments[Carrier],I32),0)</f>
        <v>0.15789473684210525</v>
      </c>
      <c r="L32" s="49">
        <f>AVERAGEIF(Shipments[Carrier],I32,Shipments[RiskScoreCalc])</f>
        <v>103.68421052631579</v>
      </c>
    </row>
    <row r="33" spans="9:12" x14ac:dyDescent="0.3">
      <c r="I33" s="44" t="s">
        <v>45</v>
      </c>
      <c r="J33" s="44">
        <f>COUNTIF(Shipments[Carrier],I33)</f>
        <v>26</v>
      </c>
      <c r="K33" s="45">
        <f>IFERROR(COUNTIFS(Shipments[Carrier],I33,Shipments[OnTimeStatus],"On Time")/COUNTIF(Shipments[Carrier],I33),0)</f>
        <v>0.19230769230769232</v>
      </c>
      <c r="L33" s="46">
        <f>AVERAGEIF(Shipments[Carrier],I33,Shipments[RiskScoreCalc])</f>
        <v>107.69230769230769</v>
      </c>
    </row>
    <row r="34" spans="9:12" x14ac:dyDescent="0.3">
      <c r="I34" s="47" t="s">
        <v>50</v>
      </c>
      <c r="J34" s="47">
        <f>COUNTIF(Shipments[Carrier],I34)</f>
        <v>24</v>
      </c>
      <c r="K34" s="48">
        <f>IFERROR(COUNTIFS(Shipments[Carrier],I34,Shipments[OnTimeStatus],"On Time")/COUNTIF(Shipments[Carrier],I34),0)</f>
        <v>0.16666666666666666</v>
      </c>
      <c r="L34" s="49">
        <f>AVERAGEIF(Shipments[Carrier],I34,Shipments[RiskScoreCalc])</f>
        <v>112.45833333333333</v>
      </c>
    </row>
  </sheetData>
  <sheetProtection sheet="1" objects="1" scenarios="1" sort="0" autoFilter="0" pivotTables="0"/>
  <mergeCells count="27">
    <mergeCell ref="K9:N9"/>
    <mergeCell ref="K12:N12"/>
    <mergeCell ref="K13:N13"/>
    <mergeCell ref="A12:C12"/>
    <mergeCell ref="A13:C13"/>
    <mergeCell ref="D11:F11"/>
    <mergeCell ref="D12:F12"/>
    <mergeCell ref="D13:F13"/>
    <mergeCell ref="G11:J11"/>
    <mergeCell ref="G12:J12"/>
    <mergeCell ref="G13:J13"/>
    <mergeCell ref="A11:C11"/>
    <mergeCell ref="K11:N11"/>
    <mergeCell ref="A1:N1"/>
    <mergeCell ref="A2:N2"/>
    <mergeCell ref="A3:N3"/>
    <mergeCell ref="A7:C7"/>
    <mergeCell ref="A8:C8"/>
    <mergeCell ref="G8:J8"/>
    <mergeCell ref="K7:N7"/>
    <mergeCell ref="K8:N8"/>
    <mergeCell ref="A9:C9"/>
    <mergeCell ref="D7:F7"/>
    <mergeCell ref="D8:F8"/>
    <mergeCell ref="D9:F9"/>
    <mergeCell ref="G7:J7"/>
    <mergeCell ref="G9:J9"/>
  </mergeCells>
  <conditionalFormatting sqref="E18:E32">
    <cfRule type="colorScale" priority="1">
      <colorScale>
        <cfvo type="num" val="0"/>
        <cfvo type="num" val="0"/>
        <color rgb="FFFFCC00"/>
        <color rgb="FFFF3B30"/>
      </colorScale>
    </cfRule>
  </conditionalFormatting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5FCD-6A9F-4B1B-9D93-D972B4696689}">
  <sheetPr>
    <tabColor rgb="FF0071E3"/>
    <pageSetUpPr fitToPage="1"/>
  </sheetPr>
  <dimension ref="A1:AK154"/>
  <sheetViews>
    <sheetView zoomScale="47" workbookViewId="0">
      <pane ySplit="4" topLeftCell="A5" activePane="bottomLeft" state="frozen"/>
      <selection pane="bottomLeft" sqref="A1:X1"/>
    </sheetView>
  </sheetViews>
  <sheetFormatPr defaultRowHeight="14.4" outlineLevelCol="1" x14ac:dyDescent="0.3"/>
  <cols>
    <col min="1" max="1" width="29.6640625" style="1" customWidth="1"/>
    <col min="2" max="2" width="17.5546875" style="1" customWidth="1"/>
    <col min="3" max="3" width="14.77734375" style="1" customWidth="1"/>
    <col min="4" max="9" width="16.6640625" style="1" customWidth="1"/>
    <col min="10" max="10" width="20.33203125" style="1" customWidth="1"/>
    <col min="11" max="11" width="17.5546875" style="1" customWidth="1"/>
    <col min="12" max="12" width="20.33203125" style="1" customWidth="1"/>
    <col min="13" max="14" width="14.77734375" style="1" customWidth="1"/>
    <col min="15" max="15" width="22.21875" style="1" customWidth="1"/>
    <col min="16" max="16" width="17.5546875" style="1" customWidth="1"/>
    <col min="17" max="17" width="13.88671875" style="1" customWidth="1"/>
    <col min="18" max="18" width="22.21875" style="1" customWidth="1"/>
    <col min="19" max="19" width="17.5546875" style="1" customWidth="1"/>
    <col min="20" max="20" width="16.6640625" style="1" customWidth="1"/>
    <col min="21" max="21" width="14.77734375" style="1" customWidth="1"/>
    <col min="22" max="22" width="16.6640625" style="1" customWidth="1"/>
    <col min="23" max="23" width="22.21875" style="1" customWidth="1"/>
    <col min="24" max="24" width="20.33203125" style="1" customWidth="1"/>
    <col min="25" max="27" width="8.88671875" style="1"/>
    <col min="28" max="28" width="8.88671875" style="1" outlineLevel="1"/>
    <col min="29" max="29" width="13.33203125" style="1" customWidth="1" outlineLevel="1"/>
    <col min="30" max="30" width="17.44140625" style="1" customWidth="1" outlineLevel="1"/>
    <col min="31" max="31" width="16.44140625" style="1" customWidth="1" outlineLevel="1"/>
    <col min="32" max="16384" width="8.88671875" style="1"/>
  </cols>
  <sheetData>
    <row r="1" spans="1:37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37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spans="1:37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</row>
    <row r="4" spans="1:37" ht="31.95" customHeight="1" x14ac:dyDescent="0.3">
      <c r="A4" s="121" t="s">
        <v>0</v>
      </c>
      <c r="B4" s="121" t="s">
        <v>1</v>
      </c>
      <c r="C4" s="121" t="s">
        <v>2</v>
      </c>
      <c r="D4" s="121" t="s">
        <v>3</v>
      </c>
      <c r="E4" s="121" t="s">
        <v>4</v>
      </c>
      <c r="F4" s="121" t="s">
        <v>5</v>
      </c>
      <c r="G4" s="121" t="s">
        <v>6</v>
      </c>
      <c r="H4" s="121" t="s">
        <v>7</v>
      </c>
      <c r="I4" s="121" t="s">
        <v>8</v>
      </c>
      <c r="J4" s="121" t="s">
        <v>9</v>
      </c>
      <c r="K4" s="121" t="s">
        <v>10</v>
      </c>
      <c r="L4" s="121" t="s">
        <v>11</v>
      </c>
      <c r="M4" s="121" t="s">
        <v>12</v>
      </c>
      <c r="N4" s="121" t="s">
        <v>13</v>
      </c>
      <c r="O4" s="121" t="s">
        <v>14</v>
      </c>
      <c r="P4" s="121" t="s">
        <v>15</v>
      </c>
      <c r="Q4" s="121" t="s">
        <v>16</v>
      </c>
      <c r="R4" s="121" t="s">
        <v>17</v>
      </c>
      <c r="S4" s="121" t="s">
        <v>344</v>
      </c>
      <c r="T4" s="121" t="s">
        <v>345</v>
      </c>
      <c r="U4" s="121" t="s">
        <v>346</v>
      </c>
      <c r="V4" s="121" t="s">
        <v>347</v>
      </c>
      <c r="W4" s="121" t="s">
        <v>348</v>
      </c>
      <c r="X4" s="121" t="s">
        <v>349</v>
      </c>
      <c r="AH4" s="1" t="s">
        <v>9</v>
      </c>
      <c r="AI4" s="1" t="s">
        <v>341</v>
      </c>
      <c r="AJ4" s="1" t="s">
        <v>342</v>
      </c>
      <c r="AK4" s="1" t="s">
        <v>343</v>
      </c>
    </row>
    <row r="5" spans="1:37" x14ac:dyDescent="0.3">
      <c r="A5" s="6" t="s">
        <v>18</v>
      </c>
      <c r="B5" s="6" t="s">
        <v>19</v>
      </c>
      <c r="C5" s="6" t="s">
        <v>20</v>
      </c>
      <c r="D5" s="8">
        <v>46111</v>
      </c>
      <c r="E5" s="8">
        <v>46114</v>
      </c>
      <c r="F5" s="8">
        <v>46122</v>
      </c>
      <c r="G5" s="6"/>
      <c r="H5" s="6"/>
      <c r="I5" s="7">
        <v>46123.458333333336</v>
      </c>
      <c r="J5" s="6" t="s">
        <v>21</v>
      </c>
      <c r="K5" s="6" t="s">
        <v>22</v>
      </c>
      <c r="L5" s="6" t="s">
        <v>23</v>
      </c>
      <c r="M5" s="6">
        <v>-26</v>
      </c>
      <c r="N5" s="6" t="s">
        <v>24</v>
      </c>
      <c r="O5" s="6"/>
      <c r="P5" s="10">
        <v>194.9</v>
      </c>
      <c r="Q5" s="11">
        <v>32</v>
      </c>
      <c r="R5" s="9">
        <v>46128.313888888886</v>
      </c>
      <c r="S5" s="7" t="str">
        <f>IF(Shipments[[#This Row],[ATA]]&lt;&gt;"", IF(Shipments[[#This Row],[ATA]]&lt;=Shipments[[#This Row],[ETA]],"On Time","Late"), IF(Shipments[[#This Row],[Status]]="Delivered","On Time","Pending"))</f>
        <v>Late</v>
      </c>
      <c r="T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120.8</v>
      </c>
      <c r="U5" s="11">
        <f ca="1">IF(Shipments[[#This Row],[ETA]]&lt;&gt;"", Shipments[[#This Row],[ETA]]-TODAY(), "")</f>
        <v>-7</v>
      </c>
      <c r="V5" s="13">
        <f>_xlfn.XLOOKUP(Shipments[[#This Row],[Carrier]], CarrierRef[Carrier], CarrierRef[BaseOnTime], "N/A")</f>
        <v>0.94</v>
      </c>
      <c r="W5" s="7" t="str">
        <f>IF(Shipments[[#This Row],[Allocation Type]]="AppleCare", IF(ISNUMBER(SEARCH("AppleCare", Shipments[[#This Row],[Carrier]])), "Compliant", "Liability Risk"), "Compliant")</f>
        <v>Compliant</v>
      </c>
      <c r="X5" s="11">
        <f>ROUND(100 - ((Shipments[[#This Row],[CO₂ Estimate (kg)]]/500)*40) - (Shipments[[#This Row],[RiskScoreCalc]]/3), 0)</f>
        <v>44</v>
      </c>
      <c r="AH5" s="1" t="s">
        <v>21</v>
      </c>
      <c r="AI5" s="2">
        <v>0.94</v>
      </c>
      <c r="AJ5" s="3">
        <v>1.2E-2</v>
      </c>
      <c r="AK5" s="1">
        <v>82</v>
      </c>
    </row>
    <row r="6" spans="1:37" x14ac:dyDescent="0.3">
      <c r="A6" s="6" t="s">
        <v>25</v>
      </c>
      <c r="B6" s="6" t="s">
        <v>19</v>
      </c>
      <c r="C6" s="6" t="s">
        <v>20</v>
      </c>
      <c r="D6" s="8">
        <v>46095</v>
      </c>
      <c r="E6" s="8">
        <v>46099</v>
      </c>
      <c r="F6" s="8">
        <v>46108</v>
      </c>
      <c r="G6" s="7">
        <v>46095</v>
      </c>
      <c r="H6" s="7">
        <v>46101</v>
      </c>
      <c r="I6" s="7">
        <v>46115</v>
      </c>
      <c r="J6" s="6" t="s">
        <v>26</v>
      </c>
      <c r="K6" s="6" t="s">
        <v>27</v>
      </c>
      <c r="L6" s="6" t="s">
        <v>28</v>
      </c>
      <c r="M6" s="6">
        <v>23</v>
      </c>
      <c r="N6" s="6" t="s">
        <v>24</v>
      </c>
      <c r="O6" s="6"/>
      <c r="P6" s="10">
        <v>629.9</v>
      </c>
      <c r="Q6" s="11">
        <v>25</v>
      </c>
      <c r="R6" s="9">
        <v>46128.605555555558</v>
      </c>
      <c r="S6" s="7" t="str">
        <f>IF(Shipments[[#This Row],[ATA]]&lt;&gt;"", IF(Shipments[[#This Row],[ATA]]&lt;=Shipments[[#This Row],[ETA]],"On Time","Late"), IF(Shipments[[#This Row],[Status]]="Delivered","On Time","Pending"))</f>
        <v>Late</v>
      </c>
      <c r="T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" s="11">
        <f ca="1">IF(Shipments[[#This Row],[ETA]]&lt;&gt;"", Shipments[[#This Row],[ETA]]-TODAY(), "")</f>
        <v>-21</v>
      </c>
      <c r="V6" s="13">
        <f>_xlfn.XLOOKUP(Shipments[[#This Row],[Carrier]], CarrierRef[Carrier], CarrierRef[BaseOnTime], "N/A")</f>
        <v>0.91</v>
      </c>
      <c r="W6" s="7" t="str">
        <f>IF(Shipments[[#This Row],[Allocation Type]]="AppleCare", IF(ISNUMBER(SEARCH("AppleCare", Shipments[[#This Row],[Carrier]])), "Compliant", "Liability Risk"), "Compliant")</f>
        <v>Liability Risk</v>
      </c>
      <c r="X6" s="11">
        <f>ROUND(100 - ((Shipments[[#This Row],[CO₂ Estimate (kg)]]/500)*40) - (Shipments[[#This Row],[RiskScoreCalc]]/3), 0)</f>
        <v>16</v>
      </c>
      <c r="AH6" s="1" t="s">
        <v>26</v>
      </c>
      <c r="AI6" s="2">
        <v>0.91</v>
      </c>
      <c r="AJ6" s="3">
        <v>1.7999999999999999E-2</v>
      </c>
      <c r="AK6" s="1">
        <v>76</v>
      </c>
    </row>
    <row r="7" spans="1:37" x14ac:dyDescent="0.3">
      <c r="A7" s="6" t="s">
        <v>29</v>
      </c>
      <c r="B7" s="6" t="s">
        <v>30</v>
      </c>
      <c r="C7" s="6" t="s">
        <v>20</v>
      </c>
      <c r="D7" s="8">
        <v>46105</v>
      </c>
      <c r="E7" s="8">
        <v>46106</v>
      </c>
      <c r="F7" s="8">
        <v>46117</v>
      </c>
      <c r="G7" s="7">
        <v>46105.25</v>
      </c>
      <c r="H7" s="7">
        <v>46107.333333333336</v>
      </c>
      <c r="I7" s="7">
        <v>46118.125</v>
      </c>
      <c r="J7" s="6" t="s">
        <v>21</v>
      </c>
      <c r="K7" s="6" t="s">
        <v>31</v>
      </c>
      <c r="L7" s="6" t="s">
        <v>28</v>
      </c>
      <c r="M7" s="6">
        <v>44</v>
      </c>
      <c r="N7" s="6" t="s">
        <v>24</v>
      </c>
      <c r="O7" s="6"/>
      <c r="P7" s="10">
        <v>511.1</v>
      </c>
      <c r="Q7" s="11">
        <v>16</v>
      </c>
      <c r="R7" s="9">
        <v>46127.105555555558</v>
      </c>
      <c r="S7" s="7" t="str">
        <f>IF(Shipments[[#This Row],[ATA]]&lt;&gt;"", IF(Shipments[[#This Row],[ATA]]&lt;=Shipments[[#This Row],[ETA]],"On Time","Late"), IF(Shipments[[#This Row],[Status]]="Delivered","On Time","Pending"))</f>
        <v>Late</v>
      </c>
      <c r="T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" s="11">
        <f ca="1">IF(Shipments[[#This Row],[ETA]]&lt;&gt;"", Shipments[[#This Row],[ETA]]-TODAY(), "")</f>
        <v>-12</v>
      </c>
      <c r="V7" s="13">
        <f>_xlfn.XLOOKUP(Shipments[[#This Row],[Carrier]], CarrierRef[Carrier], CarrierRef[BaseOnTime], "N/A")</f>
        <v>0.94</v>
      </c>
      <c r="W7" s="7" t="str">
        <f>IF(Shipments[[#This Row],[Allocation Type]]="AppleCare", IF(ISNUMBER(SEARCH("AppleCare", Shipments[[#This Row],[Carrier]])), "Compliant", "Liability Risk"), "Compliant")</f>
        <v>Liability Risk</v>
      </c>
      <c r="X7" s="11">
        <f>ROUND(100 - ((Shipments[[#This Row],[CO₂ Estimate (kg)]]/500)*40) - (Shipments[[#This Row],[RiskScoreCalc]]/3), 0)</f>
        <v>26</v>
      </c>
      <c r="AH7" s="1" t="s">
        <v>40</v>
      </c>
      <c r="AI7" s="2">
        <v>0.93</v>
      </c>
      <c r="AJ7" s="3">
        <v>1.4999999999999999E-2</v>
      </c>
      <c r="AK7" s="1">
        <v>79</v>
      </c>
    </row>
    <row r="8" spans="1:37" x14ac:dyDescent="0.3">
      <c r="A8" s="6" t="s">
        <v>32</v>
      </c>
      <c r="B8" s="6" t="s">
        <v>33</v>
      </c>
      <c r="C8" s="6" t="s">
        <v>20</v>
      </c>
      <c r="D8" s="8">
        <v>46102</v>
      </c>
      <c r="E8" s="8">
        <v>46105</v>
      </c>
      <c r="F8" s="8">
        <v>46112</v>
      </c>
      <c r="G8" s="7">
        <v>46102.041666666664</v>
      </c>
      <c r="H8" s="7">
        <v>46106.416666666664</v>
      </c>
      <c r="I8" s="7">
        <v>46112.208333333336</v>
      </c>
      <c r="J8" s="6" t="s">
        <v>34</v>
      </c>
      <c r="K8" s="6" t="s">
        <v>35</v>
      </c>
      <c r="L8" s="6" t="s">
        <v>28</v>
      </c>
      <c r="M8" s="6">
        <v>117</v>
      </c>
      <c r="N8" s="6" t="s">
        <v>24</v>
      </c>
      <c r="O8" s="6"/>
      <c r="P8" s="10">
        <v>478.4</v>
      </c>
      <c r="Q8" s="11">
        <v>32</v>
      </c>
      <c r="R8" s="9">
        <v>46126.938888888886</v>
      </c>
      <c r="S8" s="7" t="str">
        <f>IF(Shipments[[#This Row],[ATA]]&lt;&gt;"", IF(Shipments[[#This Row],[ATA]]&lt;=Shipments[[#This Row],[ETA]],"On Time","Late"), IF(Shipments[[#This Row],[Status]]="Delivered","On Time","Pending"))</f>
        <v>Late</v>
      </c>
      <c r="T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" s="11">
        <f ca="1">IF(Shipments[[#This Row],[ETA]]&lt;&gt;"", Shipments[[#This Row],[ETA]]-TODAY(), "")</f>
        <v>-17</v>
      </c>
      <c r="V8" s="13">
        <f>_xlfn.XLOOKUP(Shipments[[#This Row],[Carrier]], CarrierRef[Carrier], CarrierRef[BaseOnTime], "N/A")</f>
        <v>0.89</v>
      </c>
      <c r="W8" s="7" t="str">
        <f>IF(Shipments[[#This Row],[Allocation Type]]="AppleCare", IF(ISNUMBER(SEARCH("AppleCare", Shipments[[#This Row],[Carrier]])), "Compliant", "Liability Risk"), "Compliant")</f>
        <v>Liability Risk</v>
      </c>
      <c r="X8" s="11">
        <f>ROUND(100 - ((Shipments[[#This Row],[CO₂ Estimate (kg)]]/500)*40) - (Shipments[[#This Row],[RiskScoreCalc]]/3), 0)</f>
        <v>28</v>
      </c>
      <c r="AH8" s="1" t="s">
        <v>34</v>
      </c>
      <c r="AI8" s="2">
        <v>0.89</v>
      </c>
      <c r="AJ8" s="3">
        <v>2.1999999999999999E-2</v>
      </c>
      <c r="AK8" s="1">
        <v>85</v>
      </c>
    </row>
    <row r="9" spans="1:37" x14ac:dyDescent="0.3">
      <c r="A9" s="6" t="s">
        <v>36</v>
      </c>
      <c r="B9" s="6" t="s">
        <v>19</v>
      </c>
      <c r="C9" s="6" t="s">
        <v>20</v>
      </c>
      <c r="D9" s="8">
        <v>46109</v>
      </c>
      <c r="E9" s="8">
        <v>46112</v>
      </c>
      <c r="F9" s="8">
        <v>46117</v>
      </c>
      <c r="G9" s="7">
        <v>46108.583333333336</v>
      </c>
      <c r="H9" s="7">
        <v>46112.5</v>
      </c>
      <c r="I9" s="7">
        <v>46117.541666666664</v>
      </c>
      <c r="J9" s="6" t="s">
        <v>26</v>
      </c>
      <c r="K9" s="6" t="s">
        <v>37</v>
      </c>
      <c r="L9" s="6" t="s">
        <v>23</v>
      </c>
      <c r="M9" s="6">
        <v>6</v>
      </c>
      <c r="N9" s="6" t="s">
        <v>24</v>
      </c>
      <c r="O9" s="6"/>
      <c r="P9" s="10">
        <v>446.6</v>
      </c>
      <c r="Q9" s="11">
        <v>37</v>
      </c>
      <c r="R9" s="9">
        <v>46128.022222222222</v>
      </c>
      <c r="S9" s="7" t="str">
        <f>IF(Shipments[[#This Row],[ATA]]&lt;&gt;"", IF(Shipments[[#This Row],[ATA]]&lt;=Shipments[[#This Row],[ETA]],"On Time","Late"), IF(Shipments[[#This Row],[Status]]="Delivered","On Time","Pending"))</f>
        <v>Late</v>
      </c>
      <c r="T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" s="11">
        <f ca="1">IF(Shipments[[#This Row],[ETA]]&lt;&gt;"", Shipments[[#This Row],[ETA]]-TODAY(), "")</f>
        <v>-12</v>
      </c>
      <c r="V9" s="13">
        <f>_xlfn.XLOOKUP(Shipments[[#This Row],[Carrier]], CarrierRef[Carrier], CarrierRef[BaseOnTime], "N/A")</f>
        <v>0.91</v>
      </c>
      <c r="W9" s="7" t="str">
        <f>IF(Shipments[[#This Row],[Allocation Type]]="AppleCare", IF(ISNUMBER(SEARCH("AppleCare", Shipments[[#This Row],[Carrier]])), "Compliant", "Liability Risk"), "Compliant")</f>
        <v>Compliant</v>
      </c>
      <c r="X9" s="11">
        <f>ROUND(100 - ((Shipments[[#This Row],[CO₂ Estimate (kg)]]/500)*40) - (Shipments[[#This Row],[RiskScoreCalc]]/3), 0)</f>
        <v>31</v>
      </c>
      <c r="AH9" s="1" t="s">
        <v>45</v>
      </c>
      <c r="AI9" s="2">
        <v>0.87</v>
      </c>
      <c r="AJ9" s="3">
        <v>2.5000000000000001E-2</v>
      </c>
      <c r="AK9" s="1">
        <v>88</v>
      </c>
    </row>
    <row r="10" spans="1:37" x14ac:dyDescent="0.3">
      <c r="A10" s="6" t="s">
        <v>38</v>
      </c>
      <c r="B10" s="6" t="s">
        <v>39</v>
      </c>
      <c r="C10" s="6" t="s">
        <v>20</v>
      </c>
      <c r="D10" s="8">
        <v>46092</v>
      </c>
      <c r="E10" s="8">
        <v>46094</v>
      </c>
      <c r="F10" s="8">
        <v>46103</v>
      </c>
      <c r="G10" s="7">
        <v>46095</v>
      </c>
      <c r="H10" s="7">
        <v>46099</v>
      </c>
      <c r="I10" s="7">
        <v>46108</v>
      </c>
      <c r="J10" s="6" t="s">
        <v>40</v>
      </c>
      <c r="K10" s="6" t="s">
        <v>41</v>
      </c>
      <c r="L10" s="6" t="s">
        <v>28</v>
      </c>
      <c r="M10" s="6">
        <v>-13</v>
      </c>
      <c r="N10" s="6" t="s">
        <v>24</v>
      </c>
      <c r="O10" s="6"/>
      <c r="P10" s="10">
        <v>222.7</v>
      </c>
      <c r="Q10" s="11">
        <v>23</v>
      </c>
      <c r="R10" s="9">
        <v>46128.563888888886</v>
      </c>
      <c r="S10" s="7" t="str">
        <f>IF(Shipments[[#This Row],[ATA]]&lt;&gt;"", IF(Shipments[[#This Row],[ATA]]&lt;=Shipments[[#This Row],[ETA]],"On Time","Late"), IF(Shipments[[#This Row],[Status]]="Delivered","On Time","Pending"))</f>
        <v>Late</v>
      </c>
      <c r="T1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110.4</v>
      </c>
      <c r="U10" s="11">
        <f ca="1">IF(Shipments[[#This Row],[ETA]]&lt;&gt;"", Shipments[[#This Row],[ETA]]-TODAY(), "")</f>
        <v>-26</v>
      </c>
      <c r="V10" s="13">
        <f>_xlfn.XLOOKUP(Shipments[[#This Row],[Carrier]], CarrierRef[Carrier], CarrierRef[BaseOnTime], "N/A")</f>
        <v>0.93</v>
      </c>
      <c r="W10" s="7" t="str">
        <f>IF(Shipments[[#This Row],[Allocation Type]]="AppleCare", IF(ISNUMBER(SEARCH("AppleCare", Shipments[[#This Row],[Carrier]])), "Compliant", "Liability Risk"), "Compliant")</f>
        <v>Liability Risk</v>
      </c>
      <c r="X10" s="11">
        <f>ROUND(100 - ((Shipments[[#This Row],[CO₂ Estimate (kg)]]/500)*40) - (Shipments[[#This Row],[RiskScoreCalc]]/3), 0)</f>
        <v>45</v>
      </c>
      <c r="AH10" s="1" t="s">
        <v>50</v>
      </c>
      <c r="AI10" s="2">
        <v>0.92</v>
      </c>
      <c r="AJ10" s="3">
        <v>0.01</v>
      </c>
      <c r="AK10" s="1">
        <v>90</v>
      </c>
    </row>
    <row r="11" spans="1:37" x14ac:dyDescent="0.3">
      <c r="A11" s="6" t="s">
        <v>42</v>
      </c>
      <c r="B11" s="6" t="s">
        <v>33</v>
      </c>
      <c r="C11" s="6" t="s">
        <v>20</v>
      </c>
      <c r="D11" s="8">
        <v>46107</v>
      </c>
      <c r="E11" s="8">
        <v>46111</v>
      </c>
      <c r="F11" s="8">
        <v>46120</v>
      </c>
      <c r="G11" s="7">
        <v>46107</v>
      </c>
      <c r="H11" s="7">
        <v>46112</v>
      </c>
      <c r="I11" s="7">
        <v>46127</v>
      </c>
      <c r="J11" s="6" t="s">
        <v>34</v>
      </c>
      <c r="K11" s="6" t="s">
        <v>43</v>
      </c>
      <c r="L11" s="6" t="s">
        <v>28</v>
      </c>
      <c r="M11" s="6">
        <v>20</v>
      </c>
      <c r="N11" s="6" t="s">
        <v>24</v>
      </c>
      <c r="O11" s="6"/>
      <c r="P11" s="10">
        <v>339.9</v>
      </c>
      <c r="Q11" s="11">
        <v>24</v>
      </c>
      <c r="R11" s="9">
        <v>46127.730555555558</v>
      </c>
      <c r="S11" s="7" t="str">
        <f>IF(Shipments[[#This Row],[ATA]]&lt;&gt;"", IF(Shipments[[#This Row],[ATA]]&lt;=Shipments[[#This Row],[ETA]],"On Time","Late"), IF(Shipments[[#This Row],[Status]]="Delivered","On Time","Pending"))</f>
        <v>Late</v>
      </c>
      <c r="T1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" s="11">
        <f ca="1">IF(Shipments[[#This Row],[ETA]]&lt;&gt;"", Shipments[[#This Row],[ETA]]-TODAY(), "")</f>
        <v>-9</v>
      </c>
      <c r="V11" s="13">
        <f>_xlfn.XLOOKUP(Shipments[[#This Row],[Carrier]], CarrierRef[Carrier], CarrierRef[BaseOnTime], "N/A")</f>
        <v>0.89</v>
      </c>
      <c r="W11" s="7" t="str">
        <f>IF(Shipments[[#This Row],[Allocation Type]]="AppleCare", IF(ISNUMBER(SEARCH("AppleCare", Shipments[[#This Row],[Carrier]])), "Compliant", "Liability Risk"), "Compliant")</f>
        <v>Liability Risk</v>
      </c>
      <c r="X11" s="11">
        <f>ROUND(100 - ((Shipments[[#This Row],[CO₂ Estimate (kg)]]/500)*40) - (Shipments[[#This Row],[RiskScoreCalc]]/3), 0)</f>
        <v>39</v>
      </c>
    </row>
    <row r="12" spans="1:37" x14ac:dyDescent="0.3">
      <c r="A12" s="6" t="s">
        <v>44</v>
      </c>
      <c r="B12" s="6" t="s">
        <v>30</v>
      </c>
      <c r="C12" s="6" t="s">
        <v>20</v>
      </c>
      <c r="D12" s="8">
        <v>46104</v>
      </c>
      <c r="E12" s="8">
        <v>46105</v>
      </c>
      <c r="F12" s="8">
        <v>46114</v>
      </c>
      <c r="G12" s="6"/>
      <c r="H12" s="7">
        <v>46107</v>
      </c>
      <c r="I12" s="7">
        <v>46118</v>
      </c>
      <c r="J12" s="6" t="s">
        <v>45</v>
      </c>
      <c r="K12" s="6" t="s">
        <v>46</v>
      </c>
      <c r="L12" s="6" t="s">
        <v>23</v>
      </c>
      <c r="M12" s="6">
        <v>90</v>
      </c>
      <c r="N12" s="6" t="s">
        <v>24</v>
      </c>
      <c r="O12" s="6"/>
      <c r="P12" s="10">
        <v>613.5</v>
      </c>
      <c r="Q12" s="11">
        <v>44</v>
      </c>
      <c r="R12" s="9">
        <v>46128.855555555558</v>
      </c>
      <c r="S12" s="7" t="str">
        <f>IF(Shipments[[#This Row],[ATA]]&lt;&gt;"", IF(Shipments[[#This Row],[ATA]]&lt;=Shipments[[#This Row],[ETA]],"On Time","Late"), IF(Shipments[[#This Row],[Status]]="Delivered","On Time","Pending"))</f>
        <v>Late</v>
      </c>
      <c r="T1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" s="11">
        <f ca="1">IF(Shipments[[#This Row],[ETA]]&lt;&gt;"", Shipments[[#This Row],[ETA]]-TODAY(), "")</f>
        <v>-15</v>
      </c>
      <c r="V12" s="13">
        <f>_xlfn.XLOOKUP(Shipments[[#This Row],[Carrier]], CarrierRef[Carrier], CarrierRef[BaseOnTime], "N/A")</f>
        <v>0.87</v>
      </c>
      <c r="W12" s="7" t="str">
        <f>IF(Shipments[[#This Row],[Allocation Type]]="AppleCare", IF(ISNUMBER(SEARCH("AppleCare", Shipments[[#This Row],[Carrier]])), "Compliant", "Liability Risk"), "Compliant")</f>
        <v>Compliant</v>
      </c>
      <c r="X12" s="11">
        <f>ROUND(100 - ((Shipments[[#This Row],[CO₂ Estimate (kg)]]/500)*40) - (Shipments[[#This Row],[RiskScoreCalc]]/3), 0)</f>
        <v>18</v>
      </c>
    </row>
    <row r="13" spans="1:37" x14ac:dyDescent="0.3">
      <c r="A13" s="6" t="s">
        <v>47</v>
      </c>
      <c r="B13" s="6" t="s">
        <v>30</v>
      </c>
      <c r="C13" s="6" t="s">
        <v>20</v>
      </c>
      <c r="D13" s="8">
        <v>46095</v>
      </c>
      <c r="E13" s="8">
        <v>46096</v>
      </c>
      <c r="F13" s="8">
        <v>46102</v>
      </c>
      <c r="G13" s="7">
        <v>46095</v>
      </c>
      <c r="H13" s="7">
        <v>46101</v>
      </c>
      <c r="I13" s="7">
        <v>46105</v>
      </c>
      <c r="J13" s="6" t="s">
        <v>40</v>
      </c>
      <c r="K13" s="6" t="s">
        <v>48</v>
      </c>
      <c r="L13" s="6" t="s">
        <v>23</v>
      </c>
      <c r="M13" s="6">
        <v>73</v>
      </c>
      <c r="N13" s="6" t="s">
        <v>24</v>
      </c>
      <c r="O13" s="6"/>
      <c r="P13" s="10">
        <v>257.60000000000002</v>
      </c>
      <c r="Q13" s="11">
        <v>31</v>
      </c>
      <c r="R13" s="9">
        <v>46127.272222222222</v>
      </c>
      <c r="S13" s="7" t="str">
        <f>IF(Shipments[[#This Row],[ATA]]&lt;&gt;"", IF(Shipments[[#This Row],[ATA]]&lt;=Shipments[[#This Row],[ETA]],"On Time","Late"), IF(Shipments[[#This Row],[Status]]="Delivered","On Time","Pending"))</f>
        <v>Late</v>
      </c>
      <c r="T1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" s="11">
        <f ca="1">IF(Shipments[[#This Row],[ETA]]&lt;&gt;"", Shipments[[#This Row],[ETA]]-TODAY(), "")</f>
        <v>-27</v>
      </c>
      <c r="V13" s="13">
        <f>_xlfn.XLOOKUP(Shipments[[#This Row],[Carrier]], CarrierRef[Carrier], CarrierRef[BaseOnTime], "N/A")</f>
        <v>0.93</v>
      </c>
      <c r="W13" s="7" t="str">
        <f>IF(Shipments[[#This Row],[Allocation Type]]="AppleCare", IF(ISNUMBER(SEARCH("AppleCare", Shipments[[#This Row],[Carrier]])), "Compliant", "Liability Risk"), "Compliant")</f>
        <v>Compliant</v>
      </c>
      <c r="X13" s="11">
        <f>ROUND(100 - ((Shipments[[#This Row],[CO₂ Estimate (kg)]]/500)*40) - (Shipments[[#This Row],[RiskScoreCalc]]/3), 0)</f>
        <v>46</v>
      </c>
    </row>
    <row r="14" spans="1:37" x14ac:dyDescent="0.3">
      <c r="A14" s="6" t="s">
        <v>49</v>
      </c>
      <c r="B14" s="6" t="s">
        <v>19</v>
      </c>
      <c r="C14" s="6" t="s">
        <v>20</v>
      </c>
      <c r="D14" s="8">
        <v>46109</v>
      </c>
      <c r="E14" s="8">
        <v>46112</v>
      </c>
      <c r="F14" s="8">
        <v>46124</v>
      </c>
      <c r="G14" s="6"/>
      <c r="H14" s="6"/>
      <c r="I14" s="7">
        <v>46127</v>
      </c>
      <c r="J14" s="6" t="s">
        <v>50</v>
      </c>
      <c r="K14" s="6" t="s">
        <v>51</v>
      </c>
      <c r="L14" s="6" t="s">
        <v>28</v>
      </c>
      <c r="M14" s="6">
        <v>38</v>
      </c>
      <c r="N14" s="6" t="s">
        <v>52</v>
      </c>
      <c r="O14" s="6" t="s">
        <v>53</v>
      </c>
      <c r="P14" s="10">
        <v>288.2</v>
      </c>
      <c r="Q14" s="11">
        <v>47</v>
      </c>
      <c r="R14" s="9">
        <v>46128.855555555558</v>
      </c>
      <c r="S14" s="7" t="str">
        <f>IF(Shipments[[#This Row],[ATA]]&lt;&gt;"", IF(Shipments[[#This Row],[ATA]]&lt;=Shipments[[#This Row],[ETA]],"On Time","Late"), IF(Shipments[[#This Row],[Status]]="Delivered","On Time","Pending"))</f>
        <v>Late</v>
      </c>
      <c r="T1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14" s="11">
        <f ca="1">IF(Shipments[[#This Row],[ETA]]&lt;&gt;"", Shipments[[#This Row],[ETA]]-TODAY(), "")</f>
        <v>-5</v>
      </c>
      <c r="V14" s="13">
        <f>_xlfn.XLOOKUP(Shipments[[#This Row],[Carrier]], CarrierRef[Carrier], CarrierRef[BaseOnTime], "N/A")</f>
        <v>0.92</v>
      </c>
      <c r="W14" s="7" t="str">
        <f>IF(Shipments[[#This Row],[Allocation Type]]="AppleCare", IF(ISNUMBER(SEARCH("AppleCare", Shipments[[#This Row],[Carrier]])), "Compliant", "Liability Risk"), "Compliant")</f>
        <v>Liability Risk</v>
      </c>
      <c r="X14" s="11">
        <f>ROUND(100 - ((Shipments[[#This Row],[CO₂ Estimate (kg)]]/500)*40) - (Shipments[[#This Row],[RiskScoreCalc]]/3), 0)</f>
        <v>32</v>
      </c>
    </row>
    <row r="15" spans="1:37" x14ac:dyDescent="0.3">
      <c r="A15" s="6" t="s">
        <v>54</v>
      </c>
      <c r="B15" s="6" t="s">
        <v>33</v>
      </c>
      <c r="C15" s="6" t="s">
        <v>20</v>
      </c>
      <c r="D15" s="8">
        <v>46104</v>
      </c>
      <c r="E15" s="8">
        <v>46106</v>
      </c>
      <c r="F15" s="8">
        <v>46115</v>
      </c>
      <c r="G15" s="7">
        <v>46105</v>
      </c>
      <c r="H15" s="7">
        <v>46111</v>
      </c>
      <c r="I15" s="7">
        <v>46118</v>
      </c>
      <c r="J15" s="6" t="s">
        <v>50</v>
      </c>
      <c r="K15" s="6" t="s">
        <v>27</v>
      </c>
      <c r="L15" s="6" t="s">
        <v>23</v>
      </c>
      <c r="M15" s="6">
        <v>98</v>
      </c>
      <c r="N15" s="6" t="s">
        <v>24</v>
      </c>
      <c r="O15" s="6"/>
      <c r="P15" s="10">
        <v>294.2</v>
      </c>
      <c r="Q15" s="11">
        <v>30</v>
      </c>
      <c r="R15" s="9">
        <v>46127.772222222222</v>
      </c>
      <c r="S15" s="7" t="str">
        <f>IF(Shipments[[#This Row],[ATA]]&lt;&gt;"", IF(Shipments[[#This Row],[ATA]]&lt;=Shipments[[#This Row],[ETA]],"On Time","Late"), IF(Shipments[[#This Row],[Status]]="Delivered","On Time","Pending"))</f>
        <v>Late</v>
      </c>
      <c r="T1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5" s="11">
        <f ca="1">IF(Shipments[[#This Row],[ETA]]&lt;&gt;"", Shipments[[#This Row],[ETA]]-TODAY(), "")</f>
        <v>-14</v>
      </c>
      <c r="V15" s="13">
        <f>_xlfn.XLOOKUP(Shipments[[#This Row],[Carrier]], CarrierRef[Carrier], CarrierRef[BaseOnTime], "N/A")</f>
        <v>0.92</v>
      </c>
      <c r="W15" s="7" t="str">
        <f>IF(Shipments[[#This Row],[Allocation Type]]="AppleCare", IF(ISNUMBER(SEARCH("AppleCare", Shipments[[#This Row],[Carrier]])), "Compliant", "Liability Risk"), "Compliant")</f>
        <v>Compliant</v>
      </c>
      <c r="X15" s="11">
        <f>ROUND(100 - ((Shipments[[#This Row],[CO₂ Estimate (kg)]]/500)*40) - (Shipments[[#This Row],[RiskScoreCalc]]/3), 0)</f>
        <v>43</v>
      </c>
    </row>
    <row r="16" spans="1:37" x14ac:dyDescent="0.3">
      <c r="A16" s="6" t="s">
        <v>55</v>
      </c>
      <c r="B16" s="6" t="s">
        <v>39</v>
      </c>
      <c r="C16" s="6" t="s">
        <v>20</v>
      </c>
      <c r="D16" s="8">
        <v>46109</v>
      </c>
      <c r="E16" s="8">
        <v>46110</v>
      </c>
      <c r="F16" s="8">
        <v>46115</v>
      </c>
      <c r="G16" s="7">
        <v>46109.375</v>
      </c>
      <c r="H16" s="7">
        <v>46109.916666666664</v>
      </c>
      <c r="I16" s="7">
        <v>46115.125</v>
      </c>
      <c r="J16" s="6" t="s">
        <v>34</v>
      </c>
      <c r="K16" s="6" t="s">
        <v>56</v>
      </c>
      <c r="L16" s="6" t="s">
        <v>23</v>
      </c>
      <c r="M16" s="6">
        <v>89</v>
      </c>
      <c r="N16" s="6" t="s">
        <v>24</v>
      </c>
      <c r="O16" s="6"/>
      <c r="P16" s="10">
        <v>378.3</v>
      </c>
      <c r="Q16" s="11">
        <v>23</v>
      </c>
      <c r="R16" s="9">
        <v>46127.647222222222</v>
      </c>
      <c r="S16" s="7" t="str">
        <f>IF(Shipments[[#This Row],[ATA]]&lt;&gt;"", IF(Shipments[[#This Row],[ATA]]&lt;=Shipments[[#This Row],[ETA]],"On Time","Late"), IF(Shipments[[#This Row],[Status]]="Delivered","On Time","Pending"))</f>
        <v>Late</v>
      </c>
      <c r="T1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6" s="11">
        <f ca="1">IF(Shipments[[#This Row],[ETA]]&lt;&gt;"", Shipments[[#This Row],[ETA]]-TODAY(), "")</f>
        <v>-14</v>
      </c>
      <c r="V16" s="13">
        <f>_xlfn.XLOOKUP(Shipments[[#This Row],[Carrier]], CarrierRef[Carrier], CarrierRef[BaseOnTime], "N/A")</f>
        <v>0.89</v>
      </c>
      <c r="W16" s="7" t="str">
        <f>IF(Shipments[[#This Row],[Allocation Type]]="AppleCare", IF(ISNUMBER(SEARCH("AppleCare", Shipments[[#This Row],[Carrier]])), "Compliant", "Liability Risk"), "Compliant")</f>
        <v>Compliant</v>
      </c>
      <c r="X16" s="11">
        <f>ROUND(100 - ((Shipments[[#This Row],[CO₂ Estimate (kg)]]/500)*40) - (Shipments[[#This Row],[RiskScoreCalc]]/3), 0)</f>
        <v>36</v>
      </c>
    </row>
    <row r="17" spans="1:24" x14ac:dyDescent="0.3">
      <c r="A17" s="6" t="s">
        <v>57</v>
      </c>
      <c r="B17" s="6" t="s">
        <v>58</v>
      </c>
      <c r="C17" s="6" t="s">
        <v>20</v>
      </c>
      <c r="D17" s="8">
        <v>46108</v>
      </c>
      <c r="E17" s="8">
        <v>46109</v>
      </c>
      <c r="F17" s="8">
        <v>46115</v>
      </c>
      <c r="G17" s="7">
        <v>46109</v>
      </c>
      <c r="H17" s="7">
        <v>46111</v>
      </c>
      <c r="I17" s="7">
        <v>46120</v>
      </c>
      <c r="J17" s="6" t="s">
        <v>21</v>
      </c>
      <c r="K17" s="6" t="s">
        <v>59</v>
      </c>
      <c r="L17" s="6" t="s">
        <v>23</v>
      </c>
      <c r="M17" s="6">
        <v>6</v>
      </c>
      <c r="N17" s="6" t="s">
        <v>24</v>
      </c>
      <c r="O17" s="6"/>
      <c r="P17" s="10">
        <v>604.1</v>
      </c>
      <c r="Q17" s="11">
        <v>20</v>
      </c>
      <c r="R17" s="9">
        <v>46127.855555555558</v>
      </c>
      <c r="S17" s="7" t="str">
        <f>IF(Shipments[[#This Row],[ATA]]&lt;&gt;"", IF(Shipments[[#This Row],[ATA]]&lt;=Shipments[[#This Row],[ETA]],"On Time","Late"), IF(Shipments[[#This Row],[Status]]="Delivered","On Time","Pending"))</f>
        <v>Late</v>
      </c>
      <c r="T1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7" s="11">
        <f ca="1">IF(Shipments[[#This Row],[ETA]]&lt;&gt;"", Shipments[[#This Row],[ETA]]-TODAY(), "")</f>
        <v>-14</v>
      </c>
      <c r="V17" s="13">
        <f>_xlfn.XLOOKUP(Shipments[[#This Row],[Carrier]], CarrierRef[Carrier], CarrierRef[BaseOnTime], "N/A")</f>
        <v>0.94</v>
      </c>
      <c r="W17" s="7" t="str">
        <f>IF(Shipments[[#This Row],[Allocation Type]]="AppleCare", IF(ISNUMBER(SEARCH("AppleCare", Shipments[[#This Row],[Carrier]])), "Compliant", "Liability Risk"), "Compliant")</f>
        <v>Compliant</v>
      </c>
      <c r="X17" s="11">
        <f>ROUND(100 - ((Shipments[[#This Row],[CO₂ Estimate (kg)]]/500)*40) - (Shipments[[#This Row],[RiskScoreCalc]]/3), 0)</f>
        <v>18</v>
      </c>
    </row>
    <row r="18" spans="1:24" x14ac:dyDescent="0.3">
      <c r="A18" s="6" t="s">
        <v>60</v>
      </c>
      <c r="B18" s="6" t="s">
        <v>39</v>
      </c>
      <c r="C18" s="6" t="s">
        <v>20</v>
      </c>
      <c r="D18" s="8">
        <v>46110</v>
      </c>
      <c r="E18" s="8">
        <v>46114</v>
      </c>
      <c r="F18" s="8">
        <v>46121</v>
      </c>
      <c r="G18" s="6"/>
      <c r="H18" s="7">
        <v>46113.791666666664</v>
      </c>
      <c r="I18" s="7">
        <v>46122.041666666664</v>
      </c>
      <c r="J18" s="6" t="s">
        <v>50</v>
      </c>
      <c r="K18" s="6" t="s">
        <v>61</v>
      </c>
      <c r="L18" s="6" t="s">
        <v>28</v>
      </c>
      <c r="M18" s="6">
        <v>-33</v>
      </c>
      <c r="N18" s="6" t="s">
        <v>24</v>
      </c>
      <c r="O18" s="6"/>
      <c r="P18" s="10">
        <v>206.9</v>
      </c>
      <c r="Q18" s="11">
        <v>52</v>
      </c>
      <c r="R18" s="9">
        <v>46127.605555555558</v>
      </c>
      <c r="S18" s="7" t="str">
        <f>IF(Shipments[[#This Row],[ATA]]&lt;&gt;"", IF(Shipments[[#This Row],[ATA]]&lt;=Shipments[[#This Row],[ETA]],"On Time","Late"), IF(Shipments[[#This Row],[Status]]="Delivered","On Time","Pending"))</f>
        <v>Late</v>
      </c>
      <c r="T1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126.4</v>
      </c>
      <c r="U18" s="11">
        <f ca="1">IF(Shipments[[#This Row],[ETA]]&lt;&gt;"", Shipments[[#This Row],[ETA]]-TODAY(), "")</f>
        <v>-8</v>
      </c>
      <c r="V18" s="13">
        <f>_xlfn.XLOOKUP(Shipments[[#This Row],[Carrier]], CarrierRef[Carrier], CarrierRef[BaseOnTime], "N/A")</f>
        <v>0.92</v>
      </c>
      <c r="W18" s="7" t="str">
        <f>IF(Shipments[[#This Row],[Allocation Type]]="AppleCare", IF(ISNUMBER(SEARCH("AppleCare", Shipments[[#This Row],[Carrier]])), "Compliant", "Liability Risk"), "Compliant")</f>
        <v>Liability Risk</v>
      </c>
      <c r="X18" s="11">
        <f>ROUND(100 - ((Shipments[[#This Row],[CO₂ Estimate (kg)]]/500)*40) - (Shipments[[#This Row],[RiskScoreCalc]]/3), 0)</f>
        <v>41</v>
      </c>
    </row>
    <row r="19" spans="1:24" x14ac:dyDescent="0.3">
      <c r="A19" s="6" t="s">
        <v>62</v>
      </c>
      <c r="B19" s="6" t="s">
        <v>63</v>
      </c>
      <c r="C19" s="6" t="s">
        <v>20</v>
      </c>
      <c r="D19" s="8">
        <v>46109</v>
      </c>
      <c r="E19" s="8">
        <v>46111</v>
      </c>
      <c r="F19" s="8">
        <v>46122</v>
      </c>
      <c r="G19" s="7">
        <v>46110</v>
      </c>
      <c r="H19" s="7">
        <v>46111.291666666664</v>
      </c>
      <c r="I19" s="7">
        <v>46123.041666666664</v>
      </c>
      <c r="J19" s="6" t="s">
        <v>21</v>
      </c>
      <c r="K19" s="6" t="s">
        <v>64</v>
      </c>
      <c r="L19" s="6" t="s">
        <v>23</v>
      </c>
      <c r="M19" s="6">
        <v>110</v>
      </c>
      <c r="N19" s="6" t="s">
        <v>24</v>
      </c>
      <c r="O19" s="6"/>
      <c r="P19" s="10">
        <v>489</v>
      </c>
      <c r="Q19" s="11">
        <v>33</v>
      </c>
      <c r="R19" s="9">
        <v>46127.480555555558</v>
      </c>
      <c r="S19" s="7" t="str">
        <f>IF(Shipments[[#This Row],[ATA]]&lt;&gt;"", IF(Shipments[[#This Row],[ATA]]&lt;=Shipments[[#This Row],[ETA]],"On Time","Late"), IF(Shipments[[#This Row],[Status]]="Delivered","On Time","Pending"))</f>
        <v>Late</v>
      </c>
      <c r="T1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9" s="11">
        <f ca="1">IF(Shipments[[#This Row],[ETA]]&lt;&gt;"", Shipments[[#This Row],[ETA]]-TODAY(), "")</f>
        <v>-7</v>
      </c>
      <c r="V19" s="13">
        <f>_xlfn.XLOOKUP(Shipments[[#This Row],[Carrier]], CarrierRef[Carrier], CarrierRef[BaseOnTime], "N/A")</f>
        <v>0.94</v>
      </c>
      <c r="W19" s="7" t="str">
        <f>IF(Shipments[[#This Row],[Allocation Type]]="AppleCare", IF(ISNUMBER(SEARCH("AppleCare", Shipments[[#This Row],[Carrier]])), "Compliant", "Liability Risk"), "Compliant")</f>
        <v>Compliant</v>
      </c>
      <c r="X19" s="11">
        <f>ROUND(100 - ((Shipments[[#This Row],[CO₂ Estimate (kg)]]/500)*40) - (Shipments[[#This Row],[RiskScoreCalc]]/3), 0)</f>
        <v>28</v>
      </c>
    </row>
    <row r="20" spans="1:24" x14ac:dyDescent="0.3">
      <c r="A20" s="6" t="s">
        <v>65</v>
      </c>
      <c r="B20" s="6" t="s">
        <v>63</v>
      </c>
      <c r="C20" s="6" t="s">
        <v>20</v>
      </c>
      <c r="D20" s="8">
        <v>46092</v>
      </c>
      <c r="E20" s="8">
        <v>46095</v>
      </c>
      <c r="F20" s="8">
        <v>46107</v>
      </c>
      <c r="G20" s="7">
        <v>46091.666666666664</v>
      </c>
      <c r="H20" s="7">
        <v>46094.666666666664</v>
      </c>
      <c r="I20" s="7">
        <v>46107.708333333336</v>
      </c>
      <c r="J20" s="6" t="s">
        <v>50</v>
      </c>
      <c r="K20" s="6" t="s">
        <v>66</v>
      </c>
      <c r="L20" s="6" t="s">
        <v>28</v>
      </c>
      <c r="M20" s="6">
        <v>96</v>
      </c>
      <c r="N20" s="6" t="s">
        <v>24</v>
      </c>
      <c r="O20" s="6"/>
      <c r="P20" s="10">
        <v>214.4</v>
      </c>
      <c r="Q20" s="11">
        <v>21</v>
      </c>
      <c r="R20" s="9">
        <v>46127.522222222222</v>
      </c>
      <c r="S20" s="7" t="str">
        <f>IF(Shipments[[#This Row],[ATA]]&lt;&gt;"", IF(Shipments[[#This Row],[ATA]]&lt;=Shipments[[#This Row],[ETA]],"On Time","Late"), IF(Shipments[[#This Row],[Status]]="Delivered","On Time","Pending"))</f>
        <v>Late</v>
      </c>
      <c r="T2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20" s="11">
        <f ca="1">IF(Shipments[[#This Row],[ETA]]&lt;&gt;"", Shipments[[#This Row],[ETA]]-TODAY(), "")</f>
        <v>-22</v>
      </c>
      <c r="V20" s="13">
        <f>_xlfn.XLOOKUP(Shipments[[#This Row],[Carrier]], CarrierRef[Carrier], CarrierRef[BaseOnTime], "N/A")</f>
        <v>0.92</v>
      </c>
      <c r="W20" s="7" t="str">
        <f>IF(Shipments[[#This Row],[Allocation Type]]="AppleCare", IF(ISNUMBER(SEARCH("AppleCare", Shipments[[#This Row],[Carrier]])), "Compliant", "Liability Risk"), "Compliant")</f>
        <v>Liability Risk</v>
      </c>
      <c r="X20" s="11">
        <f>ROUND(100 - ((Shipments[[#This Row],[CO₂ Estimate (kg)]]/500)*40) - (Shipments[[#This Row],[RiskScoreCalc]]/3), 0)</f>
        <v>50</v>
      </c>
    </row>
    <row r="21" spans="1:24" x14ac:dyDescent="0.3">
      <c r="A21" s="6" t="s">
        <v>67</v>
      </c>
      <c r="B21" s="6" t="s">
        <v>30</v>
      </c>
      <c r="C21" s="6" t="s">
        <v>20</v>
      </c>
      <c r="D21" s="8">
        <v>46102</v>
      </c>
      <c r="E21" s="8">
        <v>46105</v>
      </c>
      <c r="F21" s="8">
        <v>46110</v>
      </c>
      <c r="G21" s="7">
        <v>46104</v>
      </c>
      <c r="H21" s="7">
        <v>46106</v>
      </c>
      <c r="I21" s="7">
        <v>46113</v>
      </c>
      <c r="J21" s="6" t="s">
        <v>50</v>
      </c>
      <c r="K21" s="6" t="s">
        <v>68</v>
      </c>
      <c r="L21" s="6" t="s">
        <v>23</v>
      </c>
      <c r="M21" s="6">
        <v>-21</v>
      </c>
      <c r="N21" s="6" t="s">
        <v>24</v>
      </c>
      <c r="O21" s="6"/>
      <c r="P21" s="10">
        <v>253.1</v>
      </c>
      <c r="Q21" s="11">
        <v>36</v>
      </c>
      <c r="R21" s="9">
        <v>46127.272222222222</v>
      </c>
      <c r="S21" s="7" t="str">
        <f>IF(Shipments[[#This Row],[ATA]]&lt;&gt;"", IF(Shipments[[#This Row],[ATA]]&lt;=Shipments[[#This Row],[ETA]],"On Time","Late"), IF(Shipments[[#This Row],[Status]]="Delivered","On Time","Pending"))</f>
        <v>Late</v>
      </c>
      <c r="T2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116.8</v>
      </c>
      <c r="U21" s="11">
        <f ca="1">IF(Shipments[[#This Row],[ETA]]&lt;&gt;"", Shipments[[#This Row],[ETA]]-TODAY(), "")</f>
        <v>-19</v>
      </c>
      <c r="V21" s="13">
        <f>_xlfn.XLOOKUP(Shipments[[#This Row],[Carrier]], CarrierRef[Carrier], CarrierRef[BaseOnTime], "N/A")</f>
        <v>0.92</v>
      </c>
      <c r="W21" s="7" t="str">
        <f>IF(Shipments[[#This Row],[Allocation Type]]="AppleCare", IF(ISNUMBER(SEARCH("AppleCare", Shipments[[#This Row],[Carrier]])), "Compliant", "Liability Risk"), "Compliant")</f>
        <v>Compliant</v>
      </c>
      <c r="X21" s="11">
        <f>ROUND(100 - ((Shipments[[#This Row],[CO₂ Estimate (kg)]]/500)*40) - (Shipments[[#This Row],[RiskScoreCalc]]/3), 0)</f>
        <v>41</v>
      </c>
    </row>
    <row r="22" spans="1:24" x14ac:dyDescent="0.3">
      <c r="A22" s="6" t="s">
        <v>69</v>
      </c>
      <c r="B22" s="6" t="s">
        <v>30</v>
      </c>
      <c r="C22" s="6" t="s">
        <v>20</v>
      </c>
      <c r="D22" s="8">
        <v>46096</v>
      </c>
      <c r="E22" s="8">
        <v>46097</v>
      </c>
      <c r="F22" s="8">
        <v>46103</v>
      </c>
      <c r="G22" s="6"/>
      <c r="H22" s="6"/>
      <c r="I22" s="7">
        <v>46102.5</v>
      </c>
      <c r="J22" s="6" t="s">
        <v>45</v>
      </c>
      <c r="K22" s="6" t="s">
        <v>70</v>
      </c>
      <c r="L22" s="6" t="s">
        <v>28</v>
      </c>
      <c r="M22" s="6">
        <v>-15</v>
      </c>
      <c r="N22" s="6" t="s">
        <v>24</v>
      </c>
      <c r="O22" s="6"/>
      <c r="P22" s="10">
        <v>303.10000000000002</v>
      </c>
      <c r="Q22" s="11">
        <v>47</v>
      </c>
      <c r="R22" s="9">
        <v>46127.688888888886</v>
      </c>
      <c r="S22" s="7" t="str">
        <f>IF(Shipments[[#This Row],[ATA]]&lt;&gt;"", IF(Shipments[[#This Row],[ATA]]&lt;=Shipments[[#This Row],[ETA]],"On Time","Late"), IF(Shipments[[#This Row],[Status]]="Delivered","On Time","Pending"))</f>
        <v>On Time</v>
      </c>
      <c r="T2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112</v>
      </c>
      <c r="U22" s="11">
        <f ca="1">IF(Shipments[[#This Row],[ETA]]&lt;&gt;"", Shipments[[#This Row],[ETA]]-TODAY(), "")</f>
        <v>-26</v>
      </c>
      <c r="V22" s="13">
        <f>_xlfn.XLOOKUP(Shipments[[#This Row],[Carrier]], CarrierRef[Carrier], CarrierRef[BaseOnTime], "N/A")</f>
        <v>0.87</v>
      </c>
      <c r="W22" s="7" t="str">
        <f>IF(Shipments[[#This Row],[Allocation Type]]="AppleCare", IF(ISNUMBER(SEARCH("AppleCare", Shipments[[#This Row],[Carrier]])), "Compliant", "Liability Risk"), "Compliant")</f>
        <v>Liability Risk</v>
      </c>
      <c r="X22" s="11">
        <f>ROUND(100 - ((Shipments[[#This Row],[CO₂ Estimate (kg)]]/500)*40) - (Shipments[[#This Row],[RiskScoreCalc]]/3), 0)</f>
        <v>38</v>
      </c>
    </row>
    <row r="23" spans="1:24" x14ac:dyDescent="0.3">
      <c r="A23" s="6" t="s">
        <v>71</v>
      </c>
      <c r="B23" s="6" t="s">
        <v>19</v>
      </c>
      <c r="C23" s="6" t="s">
        <v>20</v>
      </c>
      <c r="D23" s="8">
        <v>46114</v>
      </c>
      <c r="E23" s="8">
        <v>46117</v>
      </c>
      <c r="F23" s="8">
        <v>46124</v>
      </c>
      <c r="G23" s="7">
        <v>46113.583333333336</v>
      </c>
      <c r="H23" s="7">
        <v>46117.458333333336</v>
      </c>
      <c r="I23" s="7">
        <v>46124.458333333336</v>
      </c>
      <c r="J23" s="6" t="s">
        <v>40</v>
      </c>
      <c r="K23" s="6" t="s">
        <v>72</v>
      </c>
      <c r="L23" s="6" t="s">
        <v>23</v>
      </c>
      <c r="M23" s="6">
        <v>-38</v>
      </c>
      <c r="N23" s="6" t="s">
        <v>24</v>
      </c>
      <c r="O23" s="6"/>
      <c r="P23" s="10">
        <v>278.7</v>
      </c>
      <c r="Q23" s="11">
        <v>44</v>
      </c>
      <c r="R23" s="9">
        <v>46127.105555555558</v>
      </c>
      <c r="S23" s="7" t="str">
        <f>IF(Shipments[[#This Row],[ATA]]&lt;&gt;"", IF(Shipments[[#This Row],[ATA]]&lt;=Shipments[[#This Row],[ETA]],"On Time","Late"), IF(Shipments[[#This Row],[Status]]="Delivered","On Time","Pending"))</f>
        <v>Late</v>
      </c>
      <c r="T2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130.4</v>
      </c>
      <c r="U23" s="11">
        <f ca="1">IF(Shipments[[#This Row],[ETA]]&lt;&gt;"", Shipments[[#This Row],[ETA]]-TODAY(), "")</f>
        <v>-5</v>
      </c>
      <c r="V23" s="13">
        <f>_xlfn.XLOOKUP(Shipments[[#This Row],[Carrier]], CarrierRef[Carrier], CarrierRef[BaseOnTime], "N/A")</f>
        <v>0.93</v>
      </c>
      <c r="W23" s="7" t="str">
        <f>IF(Shipments[[#This Row],[Allocation Type]]="AppleCare", IF(ISNUMBER(SEARCH("AppleCare", Shipments[[#This Row],[Carrier]])), "Compliant", "Liability Risk"), "Compliant")</f>
        <v>Compliant</v>
      </c>
      <c r="X23" s="11">
        <f>ROUND(100 - ((Shipments[[#This Row],[CO₂ Estimate (kg)]]/500)*40) - (Shipments[[#This Row],[RiskScoreCalc]]/3), 0)</f>
        <v>34</v>
      </c>
    </row>
    <row r="24" spans="1:24" x14ac:dyDescent="0.3">
      <c r="A24" s="6" t="s">
        <v>73</v>
      </c>
      <c r="B24" s="6" t="s">
        <v>58</v>
      </c>
      <c r="C24" s="6" t="s">
        <v>20</v>
      </c>
      <c r="D24" s="8">
        <v>46117</v>
      </c>
      <c r="E24" s="8">
        <v>46119</v>
      </c>
      <c r="F24" s="8">
        <v>46126</v>
      </c>
      <c r="G24" s="7">
        <v>46118</v>
      </c>
      <c r="H24" s="6"/>
      <c r="I24" s="7">
        <v>46128</v>
      </c>
      <c r="J24" s="6" t="s">
        <v>26</v>
      </c>
      <c r="K24" s="6" t="s">
        <v>74</v>
      </c>
      <c r="L24" s="6" t="s">
        <v>23</v>
      </c>
      <c r="M24" s="6">
        <v>37</v>
      </c>
      <c r="N24" s="6" t="s">
        <v>24</v>
      </c>
      <c r="O24" s="6"/>
      <c r="P24" s="10">
        <v>373.5</v>
      </c>
      <c r="Q24" s="11">
        <v>36</v>
      </c>
      <c r="R24" s="9">
        <v>46126.897222222222</v>
      </c>
      <c r="S24" s="7" t="str">
        <f>IF(Shipments[[#This Row],[ATA]]&lt;&gt;"", IF(Shipments[[#This Row],[ATA]]&lt;=Shipments[[#This Row],[ETA]],"On Time","Late"), IF(Shipments[[#This Row],[Status]]="Delivered","On Time","Pending"))</f>
        <v>Late</v>
      </c>
      <c r="T2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24" s="11">
        <f ca="1">IF(Shipments[[#This Row],[ETA]]&lt;&gt;"", Shipments[[#This Row],[ETA]]-TODAY(), "")</f>
        <v>-3</v>
      </c>
      <c r="V24" s="13">
        <f>_xlfn.XLOOKUP(Shipments[[#This Row],[Carrier]], CarrierRef[Carrier], CarrierRef[BaseOnTime], "N/A")</f>
        <v>0.91</v>
      </c>
      <c r="W24" s="7" t="str">
        <f>IF(Shipments[[#This Row],[Allocation Type]]="AppleCare", IF(ISNUMBER(SEARCH("AppleCare", Shipments[[#This Row],[Carrier]])), "Compliant", "Liability Risk"), "Compliant")</f>
        <v>Compliant</v>
      </c>
      <c r="X24" s="11">
        <f>ROUND(100 - ((Shipments[[#This Row],[CO₂ Estimate (kg)]]/500)*40) - (Shipments[[#This Row],[RiskScoreCalc]]/3), 0)</f>
        <v>37</v>
      </c>
    </row>
    <row r="25" spans="1:24" x14ac:dyDescent="0.3">
      <c r="A25" s="6" t="s">
        <v>75</v>
      </c>
      <c r="B25" s="6" t="s">
        <v>33</v>
      </c>
      <c r="C25" s="6" t="s">
        <v>20</v>
      </c>
      <c r="D25" s="8">
        <v>46094</v>
      </c>
      <c r="E25" s="8">
        <v>46098</v>
      </c>
      <c r="F25" s="8">
        <v>46108</v>
      </c>
      <c r="G25" s="7">
        <v>46094.083333333336</v>
      </c>
      <c r="H25" s="7">
        <v>46098.25</v>
      </c>
      <c r="I25" s="7">
        <v>46107.541666666664</v>
      </c>
      <c r="J25" s="6" t="s">
        <v>34</v>
      </c>
      <c r="K25" s="6" t="s">
        <v>76</v>
      </c>
      <c r="L25" s="6" t="s">
        <v>23</v>
      </c>
      <c r="M25" s="6">
        <v>54</v>
      </c>
      <c r="N25" s="6" t="s">
        <v>24</v>
      </c>
      <c r="O25" s="6"/>
      <c r="P25" s="10">
        <v>586.20000000000005</v>
      </c>
      <c r="Q25" s="11">
        <v>45</v>
      </c>
      <c r="R25" s="9">
        <v>46128.147222222222</v>
      </c>
      <c r="S25" s="7" t="str">
        <f>IF(Shipments[[#This Row],[ATA]]&lt;&gt;"", IF(Shipments[[#This Row],[ATA]]&lt;=Shipments[[#This Row],[ETA]],"On Time","Late"), IF(Shipments[[#This Row],[Status]]="Delivered","On Time","Pending"))</f>
        <v>On Time</v>
      </c>
      <c r="T2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25" s="11">
        <f ca="1">IF(Shipments[[#This Row],[ETA]]&lt;&gt;"", Shipments[[#This Row],[ETA]]-TODAY(), "")</f>
        <v>-21</v>
      </c>
      <c r="V25" s="13">
        <f>_xlfn.XLOOKUP(Shipments[[#This Row],[Carrier]], CarrierRef[Carrier], CarrierRef[BaseOnTime], "N/A")</f>
        <v>0.89</v>
      </c>
      <c r="W25" s="7" t="str">
        <f>IF(Shipments[[#This Row],[Allocation Type]]="AppleCare", IF(ISNUMBER(SEARCH("AppleCare", Shipments[[#This Row],[Carrier]])), "Compliant", "Liability Risk"), "Compliant")</f>
        <v>Compliant</v>
      </c>
      <c r="X25" s="11">
        <f>ROUND(100 - ((Shipments[[#This Row],[CO₂ Estimate (kg)]]/500)*40) - (Shipments[[#This Row],[RiskScoreCalc]]/3), 0)</f>
        <v>20</v>
      </c>
    </row>
    <row r="26" spans="1:24" x14ac:dyDescent="0.3">
      <c r="A26" s="6" t="s">
        <v>77</v>
      </c>
      <c r="B26" s="6" t="s">
        <v>58</v>
      </c>
      <c r="C26" s="6" t="s">
        <v>20</v>
      </c>
      <c r="D26" s="8">
        <v>46091</v>
      </c>
      <c r="E26" s="8">
        <v>46094</v>
      </c>
      <c r="F26" s="8">
        <v>46101</v>
      </c>
      <c r="G26" s="7">
        <v>46091.166666666664</v>
      </c>
      <c r="H26" s="6"/>
      <c r="I26" s="7">
        <v>46100.75</v>
      </c>
      <c r="J26" s="6" t="s">
        <v>50</v>
      </c>
      <c r="K26" s="6" t="s">
        <v>78</v>
      </c>
      <c r="L26" s="6" t="s">
        <v>23</v>
      </c>
      <c r="M26" s="6">
        <v>40</v>
      </c>
      <c r="N26" s="6" t="s">
        <v>24</v>
      </c>
      <c r="O26" s="6"/>
      <c r="P26" s="10">
        <v>327.39999999999998</v>
      </c>
      <c r="Q26" s="11">
        <v>34</v>
      </c>
      <c r="R26" s="9">
        <v>46127.522222222222</v>
      </c>
      <c r="S26" s="7" t="str">
        <f>IF(Shipments[[#This Row],[ATA]]&lt;&gt;"", IF(Shipments[[#This Row],[ATA]]&lt;=Shipments[[#This Row],[ETA]],"On Time","Late"), IF(Shipments[[#This Row],[Status]]="Delivered","On Time","Pending"))</f>
        <v>On Time</v>
      </c>
      <c r="T2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26" s="11">
        <f ca="1">IF(Shipments[[#This Row],[ETA]]&lt;&gt;"", Shipments[[#This Row],[ETA]]-TODAY(), "")</f>
        <v>-28</v>
      </c>
      <c r="V26" s="13">
        <f>_xlfn.XLOOKUP(Shipments[[#This Row],[Carrier]], CarrierRef[Carrier], CarrierRef[BaseOnTime], "N/A")</f>
        <v>0.92</v>
      </c>
      <c r="W26" s="7" t="str">
        <f>IF(Shipments[[#This Row],[Allocation Type]]="AppleCare", IF(ISNUMBER(SEARCH("AppleCare", Shipments[[#This Row],[Carrier]])), "Compliant", "Liability Risk"), "Compliant")</f>
        <v>Compliant</v>
      </c>
      <c r="X26" s="11">
        <f>ROUND(100 - ((Shipments[[#This Row],[CO₂ Estimate (kg)]]/500)*40) - (Shipments[[#This Row],[RiskScoreCalc]]/3), 0)</f>
        <v>40</v>
      </c>
    </row>
    <row r="27" spans="1:24" x14ac:dyDescent="0.3">
      <c r="A27" s="6" t="s">
        <v>79</v>
      </c>
      <c r="B27" s="6" t="s">
        <v>39</v>
      </c>
      <c r="C27" s="6" t="s">
        <v>20</v>
      </c>
      <c r="D27" s="8">
        <v>46099</v>
      </c>
      <c r="E27" s="8">
        <v>46103</v>
      </c>
      <c r="F27" s="8">
        <v>46109</v>
      </c>
      <c r="G27" s="7">
        <v>46101</v>
      </c>
      <c r="H27" s="6"/>
      <c r="I27" s="7">
        <v>46113</v>
      </c>
      <c r="J27" s="6" t="s">
        <v>21</v>
      </c>
      <c r="K27" s="6" t="s">
        <v>80</v>
      </c>
      <c r="L27" s="6" t="s">
        <v>23</v>
      </c>
      <c r="M27" s="6">
        <v>-17</v>
      </c>
      <c r="N27" s="6" t="s">
        <v>24</v>
      </c>
      <c r="O27" s="6"/>
      <c r="P27" s="10">
        <v>321.2</v>
      </c>
      <c r="Q27" s="11">
        <v>34</v>
      </c>
      <c r="R27" s="9">
        <v>46127.105555555558</v>
      </c>
      <c r="S27" s="7" t="str">
        <f>IF(Shipments[[#This Row],[ATA]]&lt;&gt;"", IF(Shipments[[#This Row],[ATA]]&lt;=Shipments[[#This Row],[ETA]],"On Time","Late"), IF(Shipments[[#This Row],[Status]]="Delivered","On Time","Pending"))</f>
        <v>Late</v>
      </c>
      <c r="T2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113.6</v>
      </c>
      <c r="U27" s="11">
        <f ca="1">IF(Shipments[[#This Row],[ETA]]&lt;&gt;"", Shipments[[#This Row],[ETA]]-TODAY(), "")</f>
        <v>-20</v>
      </c>
      <c r="V27" s="13">
        <f>_xlfn.XLOOKUP(Shipments[[#This Row],[Carrier]], CarrierRef[Carrier], CarrierRef[BaseOnTime], "N/A")</f>
        <v>0.94</v>
      </c>
      <c r="W27" s="7" t="str">
        <f>IF(Shipments[[#This Row],[Allocation Type]]="AppleCare", IF(ISNUMBER(SEARCH("AppleCare", Shipments[[#This Row],[Carrier]])), "Compliant", "Liability Risk"), "Compliant")</f>
        <v>Compliant</v>
      </c>
      <c r="X27" s="11">
        <f>ROUND(100 - ((Shipments[[#This Row],[CO₂ Estimate (kg)]]/500)*40) - (Shipments[[#This Row],[RiskScoreCalc]]/3), 0)</f>
        <v>36</v>
      </c>
    </row>
    <row r="28" spans="1:24" x14ac:dyDescent="0.3">
      <c r="A28" s="6" t="s">
        <v>81</v>
      </c>
      <c r="B28" s="6" t="s">
        <v>39</v>
      </c>
      <c r="C28" s="6" t="s">
        <v>20</v>
      </c>
      <c r="D28" s="8">
        <v>46109</v>
      </c>
      <c r="E28" s="8">
        <v>46111</v>
      </c>
      <c r="F28" s="8">
        <v>46120</v>
      </c>
      <c r="G28" s="7">
        <v>46108.5</v>
      </c>
      <c r="H28" s="7">
        <v>46111.458333333336</v>
      </c>
      <c r="I28" s="7">
        <v>46120.25</v>
      </c>
      <c r="J28" s="6" t="s">
        <v>26</v>
      </c>
      <c r="K28" s="6" t="s">
        <v>82</v>
      </c>
      <c r="L28" s="6" t="s">
        <v>28</v>
      </c>
      <c r="M28" s="6">
        <v>100</v>
      </c>
      <c r="N28" s="6" t="s">
        <v>24</v>
      </c>
      <c r="O28" s="6"/>
      <c r="P28" s="10">
        <v>331.5</v>
      </c>
      <c r="Q28" s="11">
        <v>29</v>
      </c>
      <c r="R28" s="9">
        <v>46127.688888888886</v>
      </c>
      <c r="S28" s="7" t="str">
        <f>IF(Shipments[[#This Row],[ATA]]&lt;&gt;"", IF(Shipments[[#This Row],[ATA]]&lt;=Shipments[[#This Row],[ETA]],"On Time","Late"), IF(Shipments[[#This Row],[Status]]="Delivered","On Time","Pending"))</f>
        <v>Late</v>
      </c>
      <c r="T2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28" s="11">
        <f ca="1">IF(Shipments[[#This Row],[ETA]]&lt;&gt;"", Shipments[[#This Row],[ETA]]-TODAY(), "")</f>
        <v>-9</v>
      </c>
      <c r="V28" s="13">
        <f>_xlfn.XLOOKUP(Shipments[[#This Row],[Carrier]], CarrierRef[Carrier], CarrierRef[BaseOnTime], "N/A")</f>
        <v>0.91</v>
      </c>
      <c r="W28" s="7" t="str">
        <f>IF(Shipments[[#This Row],[Allocation Type]]="AppleCare", IF(ISNUMBER(SEARCH("AppleCare", Shipments[[#This Row],[Carrier]])), "Compliant", "Liability Risk"), "Compliant")</f>
        <v>Liability Risk</v>
      </c>
      <c r="X28" s="11">
        <f>ROUND(100 - ((Shipments[[#This Row],[CO₂ Estimate (kg)]]/500)*40) - (Shipments[[#This Row],[RiskScoreCalc]]/3), 0)</f>
        <v>40</v>
      </c>
    </row>
    <row r="29" spans="1:24" x14ac:dyDescent="0.3">
      <c r="A29" s="6" t="s">
        <v>83</v>
      </c>
      <c r="B29" s="6" t="s">
        <v>19</v>
      </c>
      <c r="C29" s="6" t="s">
        <v>20</v>
      </c>
      <c r="D29" s="8">
        <v>46097</v>
      </c>
      <c r="E29" s="8">
        <v>46100</v>
      </c>
      <c r="F29" s="8">
        <v>46106</v>
      </c>
      <c r="G29" s="7">
        <v>46098</v>
      </c>
      <c r="H29" s="7">
        <v>46103</v>
      </c>
      <c r="I29" s="7">
        <v>46109</v>
      </c>
      <c r="J29" s="6" t="s">
        <v>40</v>
      </c>
      <c r="K29" s="6" t="s">
        <v>84</v>
      </c>
      <c r="L29" s="6" t="s">
        <v>23</v>
      </c>
      <c r="M29" s="6">
        <v>-11</v>
      </c>
      <c r="N29" s="6" t="s">
        <v>52</v>
      </c>
      <c r="O29" s="6" t="s">
        <v>85</v>
      </c>
      <c r="P29" s="10">
        <v>642.4</v>
      </c>
      <c r="Q29" s="11">
        <v>65</v>
      </c>
      <c r="R29" s="9">
        <v>46128.688888888886</v>
      </c>
      <c r="S29" s="7" t="str">
        <f>IF(Shipments[[#This Row],[ATA]]&lt;&gt;"", IF(Shipments[[#This Row],[ATA]]&lt;=Shipments[[#This Row],[ETA]],"On Time","Late"), IF(Shipments[[#This Row],[Status]]="Delivered","On Time","Pending"))</f>
        <v>Late</v>
      </c>
      <c r="T2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143.80000000000001</v>
      </c>
      <c r="U29" s="11">
        <f ca="1">IF(Shipments[[#This Row],[ETA]]&lt;&gt;"", Shipments[[#This Row],[ETA]]-TODAY(), "")</f>
        <v>-23</v>
      </c>
      <c r="V29" s="13">
        <f>_xlfn.XLOOKUP(Shipments[[#This Row],[Carrier]], CarrierRef[Carrier], CarrierRef[BaseOnTime], "N/A")</f>
        <v>0.93</v>
      </c>
      <c r="W29" s="7" t="str">
        <f>IF(Shipments[[#This Row],[Allocation Type]]="AppleCare", IF(ISNUMBER(SEARCH("AppleCare", Shipments[[#This Row],[Carrier]])), "Compliant", "Liability Risk"), "Compliant")</f>
        <v>Compliant</v>
      </c>
      <c r="X29" s="11">
        <f>ROUND(100 - ((Shipments[[#This Row],[CO₂ Estimate (kg)]]/500)*40) - (Shipments[[#This Row],[RiskScoreCalc]]/3), 0)</f>
        <v>1</v>
      </c>
    </row>
    <row r="30" spans="1:24" x14ac:dyDescent="0.3">
      <c r="A30" s="6" t="s">
        <v>86</v>
      </c>
      <c r="B30" s="6" t="s">
        <v>39</v>
      </c>
      <c r="C30" s="6" t="s">
        <v>20</v>
      </c>
      <c r="D30" s="8">
        <v>46108</v>
      </c>
      <c r="E30" s="8">
        <v>46109</v>
      </c>
      <c r="F30" s="8">
        <v>46115</v>
      </c>
      <c r="G30" s="7">
        <v>46109</v>
      </c>
      <c r="H30" s="7">
        <v>46111</v>
      </c>
      <c r="I30" s="7">
        <v>46122</v>
      </c>
      <c r="J30" s="6" t="s">
        <v>40</v>
      </c>
      <c r="K30" s="6" t="s">
        <v>87</v>
      </c>
      <c r="L30" s="6" t="s">
        <v>23</v>
      </c>
      <c r="M30" s="6">
        <v>-36</v>
      </c>
      <c r="N30" s="6" t="s">
        <v>24</v>
      </c>
      <c r="O30" s="6"/>
      <c r="P30" s="10">
        <v>611.20000000000005</v>
      </c>
      <c r="Q30" s="11">
        <v>39</v>
      </c>
      <c r="R30" s="9">
        <v>46127.647222222222</v>
      </c>
      <c r="S30" s="7" t="str">
        <f>IF(Shipments[[#This Row],[ATA]]&lt;&gt;"", IF(Shipments[[#This Row],[ATA]]&lt;=Shipments[[#This Row],[ETA]],"On Time","Late"), IF(Shipments[[#This Row],[Status]]="Delivered","On Time","Pending"))</f>
        <v>Late</v>
      </c>
      <c r="T3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128.80000000000001</v>
      </c>
      <c r="U30" s="11">
        <f ca="1">IF(Shipments[[#This Row],[ETA]]&lt;&gt;"", Shipments[[#This Row],[ETA]]-TODAY(), "")</f>
        <v>-14</v>
      </c>
      <c r="V30" s="13">
        <f>_xlfn.XLOOKUP(Shipments[[#This Row],[Carrier]], CarrierRef[Carrier], CarrierRef[BaseOnTime], "N/A")</f>
        <v>0.93</v>
      </c>
      <c r="W30" s="7" t="str">
        <f>IF(Shipments[[#This Row],[Allocation Type]]="AppleCare", IF(ISNUMBER(SEARCH("AppleCare", Shipments[[#This Row],[Carrier]])), "Compliant", "Liability Risk"), "Compliant")</f>
        <v>Compliant</v>
      </c>
      <c r="X30" s="11">
        <f>ROUND(100 - ((Shipments[[#This Row],[CO₂ Estimate (kg)]]/500)*40) - (Shipments[[#This Row],[RiskScoreCalc]]/3), 0)</f>
        <v>8</v>
      </c>
    </row>
    <row r="31" spans="1:24" x14ac:dyDescent="0.3">
      <c r="A31" s="6" t="s">
        <v>88</v>
      </c>
      <c r="B31" s="6" t="s">
        <v>58</v>
      </c>
      <c r="C31" s="6" t="s">
        <v>20</v>
      </c>
      <c r="D31" s="8">
        <v>46107</v>
      </c>
      <c r="E31" s="8">
        <v>46111</v>
      </c>
      <c r="F31" s="8">
        <v>46123</v>
      </c>
      <c r="G31" s="6"/>
      <c r="H31" s="7">
        <v>46115</v>
      </c>
      <c r="I31" s="7">
        <v>46127</v>
      </c>
      <c r="J31" s="6" t="s">
        <v>50</v>
      </c>
      <c r="K31" s="6" t="s">
        <v>89</v>
      </c>
      <c r="L31" s="6" t="s">
        <v>28</v>
      </c>
      <c r="M31" s="6">
        <v>115</v>
      </c>
      <c r="N31" s="6" t="s">
        <v>24</v>
      </c>
      <c r="O31" s="6"/>
      <c r="P31" s="10">
        <v>545.5</v>
      </c>
      <c r="Q31" s="11">
        <v>30</v>
      </c>
      <c r="R31" s="9">
        <v>46127.188888888886</v>
      </c>
      <c r="S31" s="7" t="str">
        <f>IF(Shipments[[#This Row],[ATA]]&lt;&gt;"", IF(Shipments[[#This Row],[ATA]]&lt;=Shipments[[#This Row],[ETA]],"On Time","Late"), IF(Shipments[[#This Row],[Status]]="Delivered","On Time","Pending"))</f>
        <v>Late</v>
      </c>
      <c r="T3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1" s="11">
        <f ca="1">IF(Shipments[[#This Row],[ETA]]&lt;&gt;"", Shipments[[#This Row],[ETA]]-TODAY(), "")</f>
        <v>-6</v>
      </c>
      <c r="V31" s="13">
        <f>_xlfn.XLOOKUP(Shipments[[#This Row],[Carrier]], CarrierRef[Carrier], CarrierRef[BaseOnTime], "N/A")</f>
        <v>0.92</v>
      </c>
      <c r="W31" s="7" t="str">
        <f>IF(Shipments[[#This Row],[Allocation Type]]="AppleCare", IF(ISNUMBER(SEARCH("AppleCare", Shipments[[#This Row],[Carrier]])), "Compliant", "Liability Risk"), "Compliant")</f>
        <v>Liability Risk</v>
      </c>
      <c r="X31" s="11">
        <f>ROUND(100 - ((Shipments[[#This Row],[CO₂ Estimate (kg)]]/500)*40) - (Shipments[[#This Row],[RiskScoreCalc]]/3), 0)</f>
        <v>23</v>
      </c>
    </row>
    <row r="32" spans="1:24" x14ac:dyDescent="0.3">
      <c r="A32" s="6" t="s">
        <v>90</v>
      </c>
      <c r="B32" s="6" t="s">
        <v>30</v>
      </c>
      <c r="C32" s="6" t="s">
        <v>20</v>
      </c>
      <c r="D32" s="8">
        <v>46116</v>
      </c>
      <c r="E32" s="8">
        <v>46117</v>
      </c>
      <c r="F32" s="8">
        <v>46124</v>
      </c>
      <c r="G32" s="7">
        <v>46116.5</v>
      </c>
      <c r="H32" s="7">
        <v>46118.5</v>
      </c>
      <c r="I32" s="7">
        <v>46123.875</v>
      </c>
      <c r="J32" s="6" t="s">
        <v>50</v>
      </c>
      <c r="K32" s="6" t="s">
        <v>91</v>
      </c>
      <c r="L32" s="6" t="s">
        <v>28</v>
      </c>
      <c r="M32" s="6">
        <v>-32</v>
      </c>
      <c r="N32" s="6" t="s">
        <v>24</v>
      </c>
      <c r="O32" s="6"/>
      <c r="P32" s="10">
        <v>335.5</v>
      </c>
      <c r="Q32" s="11">
        <v>48</v>
      </c>
      <c r="R32" s="9">
        <v>46127.772222222222</v>
      </c>
      <c r="S32" s="7" t="str">
        <f>IF(Shipments[[#This Row],[ATA]]&lt;&gt;"", IF(Shipments[[#This Row],[ATA]]&lt;=Shipments[[#This Row],[ETA]],"On Time","Late"), IF(Shipments[[#This Row],[Status]]="Delivered","On Time","Pending"))</f>
        <v>On Time</v>
      </c>
      <c r="T3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125.6</v>
      </c>
      <c r="U32" s="11">
        <f ca="1">IF(Shipments[[#This Row],[ETA]]&lt;&gt;"", Shipments[[#This Row],[ETA]]-TODAY(), "")</f>
        <v>-5</v>
      </c>
      <c r="V32" s="13">
        <f>_xlfn.XLOOKUP(Shipments[[#This Row],[Carrier]], CarrierRef[Carrier], CarrierRef[BaseOnTime], "N/A")</f>
        <v>0.92</v>
      </c>
      <c r="W32" s="7" t="str">
        <f>IF(Shipments[[#This Row],[Allocation Type]]="AppleCare", IF(ISNUMBER(SEARCH("AppleCare", Shipments[[#This Row],[Carrier]])), "Compliant", "Liability Risk"), "Compliant")</f>
        <v>Liability Risk</v>
      </c>
      <c r="X32" s="11">
        <f>ROUND(100 - ((Shipments[[#This Row],[CO₂ Estimate (kg)]]/500)*40) - (Shipments[[#This Row],[RiskScoreCalc]]/3), 0)</f>
        <v>31</v>
      </c>
    </row>
    <row r="33" spans="1:24" x14ac:dyDescent="0.3">
      <c r="A33" s="6" t="s">
        <v>92</v>
      </c>
      <c r="B33" s="6" t="s">
        <v>58</v>
      </c>
      <c r="C33" s="6" t="s">
        <v>93</v>
      </c>
      <c r="D33" s="8">
        <v>46115</v>
      </c>
      <c r="E33" s="8">
        <v>46119</v>
      </c>
      <c r="F33" s="8">
        <v>46131</v>
      </c>
      <c r="G33" s="7">
        <v>46115.416666666664</v>
      </c>
      <c r="H33" s="7">
        <v>46119.458333333336</v>
      </c>
      <c r="I33" s="6"/>
      <c r="J33" s="6" t="s">
        <v>26</v>
      </c>
      <c r="K33" s="6" t="s">
        <v>94</v>
      </c>
      <c r="L33" s="6" t="s">
        <v>23</v>
      </c>
      <c r="M33" s="6">
        <v>89</v>
      </c>
      <c r="N33" s="6" t="s">
        <v>24</v>
      </c>
      <c r="O33" s="6"/>
      <c r="P33" s="10">
        <v>436.7</v>
      </c>
      <c r="Q33" s="11">
        <v>34</v>
      </c>
      <c r="R33" s="9">
        <v>46128.272222222222</v>
      </c>
      <c r="S33" s="7" t="str">
        <f>IF(Shipments[[#This Row],[ATA]]&lt;&gt;"", IF(Shipments[[#This Row],[ATA]]&lt;=Shipments[[#This Row],[ETA]],"On Time","Late"), IF(Shipments[[#This Row],[Status]]="Delivered","On Time","Pending"))</f>
        <v>Pending</v>
      </c>
      <c r="T3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3" s="11">
        <f ca="1">IF(Shipments[[#This Row],[ETA]]&lt;&gt;"", Shipments[[#This Row],[ETA]]-TODAY(), "")</f>
        <v>2</v>
      </c>
      <c r="V33" s="13">
        <f>_xlfn.XLOOKUP(Shipments[[#This Row],[Carrier]], CarrierRef[Carrier], CarrierRef[BaseOnTime], "N/A")</f>
        <v>0.91</v>
      </c>
      <c r="W33" s="7" t="str">
        <f>IF(Shipments[[#This Row],[Allocation Type]]="AppleCare", IF(ISNUMBER(SEARCH("AppleCare", Shipments[[#This Row],[Carrier]])), "Compliant", "Liability Risk"), "Compliant")</f>
        <v>Compliant</v>
      </c>
      <c r="X33" s="11">
        <f>ROUND(100 - ((Shipments[[#This Row],[CO₂ Estimate (kg)]]/500)*40) - (Shipments[[#This Row],[RiskScoreCalc]]/3), 0)</f>
        <v>32</v>
      </c>
    </row>
    <row r="34" spans="1:24" x14ac:dyDescent="0.3">
      <c r="A34" s="6" t="s">
        <v>95</v>
      </c>
      <c r="B34" s="6" t="s">
        <v>19</v>
      </c>
      <c r="C34" s="6" t="s">
        <v>96</v>
      </c>
      <c r="D34" s="8">
        <v>46111</v>
      </c>
      <c r="E34" s="8">
        <v>46113</v>
      </c>
      <c r="F34" s="8">
        <v>46125</v>
      </c>
      <c r="G34" s="7">
        <v>46111</v>
      </c>
      <c r="H34" s="7">
        <v>46117</v>
      </c>
      <c r="I34" s="6"/>
      <c r="J34" s="6" t="s">
        <v>26</v>
      </c>
      <c r="K34" s="6" t="s">
        <v>97</v>
      </c>
      <c r="L34" s="6" t="s">
        <v>28</v>
      </c>
      <c r="M34" s="6">
        <v>116</v>
      </c>
      <c r="N34" s="6" t="s">
        <v>24</v>
      </c>
      <c r="O34" s="6"/>
      <c r="P34" s="10">
        <v>587.4</v>
      </c>
      <c r="Q34" s="11">
        <v>65</v>
      </c>
      <c r="R34" s="9">
        <v>46128.730555555558</v>
      </c>
      <c r="S34" s="7" t="str">
        <f>IF(Shipments[[#This Row],[ATA]]&lt;&gt;"", IF(Shipments[[#This Row],[ATA]]&lt;=Shipments[[#This Row],[ETA]],"On Time","Late"), IF(Shipments[[#This Row],[Status]]="Delivered","On Time","Pending"))</f>
        <v>Pending</v>
      </c>
      <c r="T3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4" s="11">
        <f ca="1">IF(Shipments[[#This Row],[ETA]]&lt;&gt;"", Shipments[[#This Row],[ETA]]-TODAY(), "")</f>
        <v>-4</v>
      </c>
      <c r="V34" s="13">
        <f>_xlfn.XLOOKUP(Shipments[[#This Row],[Carrier]], CarrierRef[Carrier], CarrierRef[BaseOnTime], "N/A")</f>
        <v>0.91</v>
      </c>
      <c r="W34" s="7" t="str">
        <f>IF(Shipments[[#This Row],[Allocation Type]]="AppleCare", IF(ISNUMBER(SEARCH("AppleCare", Shipments[[#This Row],[Carrier]])), "Compliant", "Liability Risk"), "Compliant")</f>
        <v>Liability Risk</v>
      </c>
      <c r="X34" s="11">
        <f>ROUND(100 - ((Shipments[[#This Row],[CO₂ Estimate (kg)]]/500)*40) - (Shipments[[#This Row],[RiskScoreCalc]]/3), 0)</f>
        <v>20</v>
      </c>
    </row>
    <row r="35" spans="1:24" x14ac:dyDescent="0.3">
      <c r="A35" s="6" t="s">
        <v>98</v>
      </c>
      <c r="B35" s="6" t="s">
        <v>39</v>
      </c>
      <c r="C35" s="6" t="s">
        <v>20</v>
      </c>
      <c r="D35" s="8">
        <v>46096</v>
      </c>
      <c r="E35" s="8">
        <v>46097</v>
      </c>
      <c r="F35" s="8">
        <v>46109</v>
      </c>
      <c r="G35" s="7">
        <v>46096.916666666664</v>
      </c>
      <c r="H35" s="7">
        <v>46096.791666666664</v>
      </c>
      <c r="I35" s="7">
        <v>46111</v>
      </c>
      <c r="J35" s="6" t="s">
        <v>50</v>
      </c>
      <c r="K35" s="6" t="s">
        <v>99</v>
      </c>
      <c r="L35" s="6" t="s">
        <v>28</v>
      </c>
      <c r="M35" s="6">
        <v>118</v>
      </c>
      <c r="N35" s="6" t="s">
        <v>52</v>
      </c>
      <c r="O35" s="6"/>
      <c r="P35" s="10">
        <v>198.9</v>
      </c>
      <c r="Q35" s="11">
        <v>40</v>
      </c>
      <c r="R35" s="9">
        <v>46128.230555555558</v>
      </c>
      <c r="S35" s="7" t="str">
        <f>IF(Shipments[[#This Row],[ATA]]&lt;&gt;"", IF(Shipments[[#This Row],[ATA]]&lt;=Shipments[[#This Row],[ETA]],"On Time","Late"), IF(Shipments[[#This Row],[Status]]="Delivered","On Time","Pending"))</f>
        <v>Late</v>
      </c>
      <c r="T3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35" s="11">
        <f ca="1">IF(Shipments[[#This Row],[ETA]]&lt;&gt;"", Shipments[[#This Row],[ETA]]-TODAY(), "")</f>
        <v>-20</v>
      </c>
      <c r="V35" s="13">
        <f>_xlfn.XLOOKUP(Shipments[[#This Row],[Carrier]], CarrierRef[Carrier], CarrierRef[BaseOnTime], "N/A")</f>
        <v>0.92</v>
      </c>
      <c r="W35" s="7" t="str">
        <f>IF(Shipments[[#This Row],[Allocation Type]]="AppleCare", IF(ISNUMBER(SEARCH("AppleCare", Shipments[[#This Row],[Carrier]])), "Compliant", "Liability Risk"), "Compliant")</f>
        <v>Liability Risk</v>
      </c>
      <c r="X35" s="11">
        <f>ROUND(100 - ((Shipments[[#This Row],[CO₂ Estimate (kg)]]/500)*40) - (Shipments[[#This Row],[RiskScoreCalc]]/3), 0)</f>
        <v>39</v>
      </c>
    </row>
    <row r="36" spans="1:24" x14ac:dyDescent="0.3">
      <c r="A36" s="6" t="s">
        <v>100</v>
      </c>
      <c r="B36" s="6" t="s">
        <v>39</v>
      </c>
      <c r="C36" s="6" t="s">
        <v>20</v>
      </c>
      <c r="D36" s="8">
        <v>46106</v>
      </c>
      <c r="E36" s="8">
        <v>46108</v>
      </c>
      <c r="F36" s="8">
        <v>46120</v>
      </c>
      <c r="G36" s="7">
        <v>46108</v>
      </c>
      <c r="H36" s="7">
        <v>46110</v>
      </c>
      <c r="I36" s="7">
        <v>46126</v>
      </c>
      <c r="J36" s="6" t="s">
        <v>26</v>
      </c>
      <c r="K36" s="6" t="s">
        <v>101</v>
      </c>
      <c r="L36" s="6" t="s">
        <v>23</v>
      </c>
      <c r="M36" s="6">
        <v>-19</v>
      </c>
      <c r="N36" s="6" t="s">
        <v>24</v>
      </c>
      <c r="O36" s="6"/>
      <c r="P36" s="10">
        <v>257</v>
      </c>
      <c r="Q36" s="11">
        <v>35</v>
      </c>
      <c r="R36" s="9">
        <v>46128.605555555558</v>
      </c>
      <c r="S36" s="7" t="str">
        <f>IF(Shipments[[#This Row],[ATA]]&lt;&gt;"", IF(Shipments[[#This Row],[ATA]]&lt;=Shipments[[#This Row],[ETA]],"On Time","Late"), IF(Shipments[[#This Row],[Status]]="Delivered","On Time","Pending"))</f>
        <v>Late</v>
      </c>
      <c r="T3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115.2</v>
      </c>
      <c r="U36" s="11">
        <f ca="1">IF(Shipments[[#This Row],[ETA]]&lt;&gt;"", Shipments[[#This Row],[ETA]]-TODAY(), "")</f>
        <v>-9</v>
      </c>
      <c r="V36" s="13">
        <f>_xlfn.XLOOKUP(Shipments[[#This Row],[Carrier]], CarrierRef[Carrier], CarrierRef[BaseOnTime], "N/A")</f>
        <v>0.91</v>
      </c>
      <c r="W36" s="7" t="str">
        <f>IF(Shipments[[#This Row],[Allocation Type]]="AppleCare", IF(ISNUMBER(SEARCH("AppleCare", Shipments[[#This Row],[Carrier]])), "Compliant", "Liability Risk"), "Compliant")</f>
        <v>Compliant</v>
      </c>
      <c r="X36" s="11">
        <f>ROUND(100 - ((Shipments[[#This Row],[CO₂ Estimate (kg)]]/500)*40) - (Shipments[[#This Row],[RiskScoreCalc]]/3), 0)</f>
        <v>41</v>
      </c>
    </row>
    <row r="37" spans="1:24" x14ac:dyDescent="0.3">
      <c r="A37" s="6" t="s">
        <v>102</v>
      </c>
      <c r="B37" s="6" t="s">
        <v>39</v>
      </c>
      <c r="C37" s="6" t="s">
        <v>20</v>
      </c>
      <c r="D37" s="8">
        <v>46090</v>
      </c>
      <c r="E37" s="8">
        <v>46092</v>
      </c>
      <c r="F37" s="8">
        <v>46098</v>
      </c>
      <c r="G37" s="7">
        <v>46092</v>
      </c>
      <c r="H37" s="6"/>
      <c r="I37" s="7">
        <v>46100</v>
      </c>
      <c r="J37" s="6" t="s">
        <v>26</v>
      </c>
      <c r="K37" s="6" t="s">
        <v>103</v>
      </c>
      <c r="L37" s="6" t="s">
        <v>23</v>
      </c>
      <c r="M37" s="6">
        <v>96</v>
      </c>
      <c r="N37" s="6" t="s">
        <v>24</v>
      </c>
      <c r="O37" s="6"/>
      <c r="P37" s="10">
        <v>343.2</v>
      </c>
      <c r="Q37" s="11">
        <v>28</v>
      </c>
      <c r="R37" s="9">
        <v>46127.105555555558</v>
      </c>
      <c r="S37" s="7" t="str">
        <f>IF(Shipments[[#This Row],[ATA]]&lt;&gt;"", IF(Shipments[[#This Row],[ATA]]&lt;=Shipments[[#This Row],[ETA]],"On Time","Late"), IF(Shipments[[#This Row],[Status]]="Delivered","On Time","Pending"))</f>
        <v>Late</v>
      </c>
      <c r="T3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7" s="11">
        <f ca="1">IF(Shipments[[#This Row],[ETA]]&lt;&gt;"", Shipments[[#This Row],[ETA]]-TODAY(), "")</f>
        <v>-31</v>
      </c>
      <c r="V37" s="13">
        <f>_xlfn.XLOOKUP(Shipments[[#This Row],[Carrier]], CarrierRef[Carrier], CarrierRef[BaseOnTime], "N/A")</f>
        <v>0.91</v>
      </c>
      <c r="W37" s="7" t="str">
        <f>IF(Shipments[[#This Row],[Allocation Type]]="AppleCare", IF(ISNUMBER(SEARCH("AppleCare", Shipments[[#This Row],[Carrier]])), "Compliant", "Liability Risk"), "Compliant")</f>
        <v>Compliant</v>
      </c>
      <c r="X37" s="11">
        <f>ROUND(100 - ((Shipments[[#This Row],[CO₂ Estimate (kg)]]/500)*40) - (Shipments[[#This Row],[RiskScoreCalc]]/3), 0)</f>
        <v>39</v>
      </c>
    </row>
    <row r="38" spans="1:24" x14ac:dyDescent="0.3">
      <c r="A38" s="6" t="s">
        <v>104</v>
      </c>
      <c r="B38" s="6" t="s">
        <v>39</v>
      </c>
      <c r="C38" s="6" t="s">
        <v>20</v>
      </c>
      <c r="D38" s="8">
        <v>46101</v>
      </c>
      <c r="E38" s="8">
        <v>46104</v>
      </c>
      <c r="F38" s="8">
        <v>46116</v>
      </c>
      <c r="G38" s="7">
        <v>46104</v>
      </c>
      <c r="H38" s="7">
        <v>46106</v>
      </c>
      <c r="I38" s="7">
        <v>46123</v>
      </c>
      <c r="J38" s="6" t="s">
        <v>34</v>
      </c>
      <c r="K38" s="6" t="s">
        <v>105</v>
      </c>
      <c r="L38" s="6" t="s">
        <v>23</v>
      </c>
      <c r="M38" s="6">
        <v>118</v>
      </c>
      <c r="N38" s="6" t="s">
        <v>24</v>
      </c>
      <c r="O38" s="6"/>
      <c r="P38" s="10">
        <v>559.9</v>
      </c>
      <c r="Q38" s="11">
        <v>32</v>
      </c>
      <c r="R38" s="9">
        <v>46127.605555555558</v>
      </c>
      <c r="S38" s="7" t="str">
        <f>IF(Shipments[[#This Row],[ATA]]&lt;&gt;"", IF(Shipments[[#This Row],[ATA]]&lt;=Shipments[[#This Row],[ETA]],"On Time","Late"), IF(Shipments[[#This Row],[Status]]="Delivered","On Time","Pending"))</f>
        <v>Late</v>
      </c>
      <c r="T3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8" s="11">
        <f ca="1">IF(Shipments[[#This Row],[ETA]]&lt;&gt;"", Shipments[[#This Row],[ETA]]-TODAY(), "")</f>
        <v>-13</v>
      </c>
      <c r="V38" s="13">
        <f>_xlfn.XLOOKUP(Shipments[[#This Row],[Carrier]], CarrierRef[Carrier], CarrierRef[BaseOnTime], "N/A")</f>
        <v>0.89</v>
      </c>
      <c r="W38" s="7" t="str">
        <f>IF(Shipments[[#This Row],[Allocation Type]]="AppleCare", IF(ISNUMBER(SEARCH("AppleCare", Shipments[[#This Row],[Carrier]])), "Compliant", "Liability Risk"), "Compliant")</f>
        <v>Compliant</v>
      </c>
      <c r="X38" s="11">
        <f>ROUND(100 - ((Shipments[[#This Row],[CO₂ Estimate (kg)]]/500)*40) - (Shipments[[#This Row],[RiskScoreCalc]]/3), 0)</f>
        <v>22</v>
      </c>
    </row>
    <row r="39" spans="1:24" x14ac:dyDescent="0.3">
      <c r="A39" s="6" t="s">
        <v>106</v>
      </c>
      <c r="B39" s="6" t="s">
        <v>33</v>
      </c>
      <c r="C39" s="6" t="s">
        <v>20</v>
      </c>
      <c r="D39" s="8">
        <v>46095</v>
      </c>
      <c r="E39" s="8">
        <v>46099</v>
      </c>
      <c r="F39" s="8">
        <v>46110</v>
      </c>
      <c r="G39" s="6"/>
      <c r="H39" s="7">
        <v>46099.5</v>
      </c>
      <c r="I39" s="7">
        <v>46109.958333333336</v>
      </c>
      <c r="J39" s="6" t="s">
        <v>50</v>
      </c>
      <c r="K39" s="6" t="s">
        <v>107</v>
      </c>
      <c r="L39" s="6" t="s">
        <v>28</v>
      </c>
      <c r="M39" s="6">
        <v>42</v>
      </c>
      <c r="N39" s="6" t="s">
        <v>24</v>
      </c>
      <c r="O39" s="6"/>
      <c r="P39" s="10">
        <v>340</v>
      </c>
      <c r="Q39" s="11">
        <v>43</v>
      </c>
      <c r="R39" s="9">
        <v>46127.272222222222</v>
      </c>
      <c r="S39" s="7" t="str">
        <f>IF(Shipments[[#This Row],[ATA]]&lt;&gt;"", IF(Shipments[[#This Row],[ATA]]&lt;=Shipments[[#This Row],[ETA]],"On Time","Late"), IF(Shipments[[#This Row],[Status]]="Delivered","On Time","Pending"))</f>
        <v>On Time</v>
      </c>
      <c r="T3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39" s="11">
        <f ca="1">IF(Shipments[[#This Row],[ETA]]&lt;&gt;"", Shipments[[#This Row],[ETA]]-TODAY(), "")</f>
        <v>-19</v>
      </c>
      <c r="V39" s="13">
        <f>_xlfn.XLOOKUP(Shipments[[#This Row],[Carrier]], CarrierRef[Carrier], CarrierRef[BaseOnTime], "N/A")</f>
        <v>0.92</v>
      </c>
      <c r="W39" s="7" t="str">
        <f>IF(Shipments[[#This Row],[Allocation Type]]="AppleCare", IF(ISNUMBER(SEARCH("AppleCare", Shipments[[#This Row],[Carrier]])), "Compliant", "Liability Risk"), "Compliant")</f>
        <v>Liability Risk</v>
      </c>
      <c r="X39" s="11">
        <f>ROUND(100 - ((Shipments[[#This Row],[CO₂ Estimate (kg)]]/500)*40) - (Shipments[[#This Row],[RiskScoreCalc]]/3), 0)</f>
        <v>39</v>
      </c>
    </row>
    <row r="40" spans="1:24" x14ac:dyDescent="0.3">
      <c r="A40" s="6" t="s">
        <v>108</v>
      </c>
      <c r="B40" s="6" t="s">
        <v>33</v>
      </c>
      <c r="C40" s="6" t="s">
        <v>20</v>
      </c>
      <c r="D40" s="8">
        <v>46103</v>
      </c>
      <c r="E40" s="8">
        <v>46105</v>
      </c>
      <c r="F40" s="8">
        <v>46117</v>
      </c>
      <c r="G40" s="7">
        <v>46103.791666666664</v>
      </c>
      <c r="H40" s="7">
        <v>46105.833333333336</v>
      </c>
      <c r="I40" s="7">
        <v>46118.583333333336</v>
      </c>
      <c r="J40" s="6" t="s">
        <v>40</v>
      </c>
      <c r="K40" s="6" t="s">
        <v>109</v>
      </c>
      <c r="L40" s="6" t="s">
        <v>28</v>
      </c>
      <c r="M40" s="6">
        <v>27</v>
      </c>
      <c r="N40" s="6" t="s">
        <v>24</v>
      </c>
      <c r="O40" s="6"/>
      <c r="P40" s="10">
        <v>505.1</v>
      </c>
      <c r="Q40" s="11">
        <v>24</v>
      </c>
      <c r="R40" s="9">
        <v>46127.105555555558</v>
      </c>
      <c r="S40" s="7" t="str">
        <f>IF(Shipments[[#This Row],[ATA]]&lt;&gt;"", IF(Shipments[[#This Row],[ATA]]&lt;=Shipments[[#This Row],[ETA]],"On Time","Late"), IF(Shipments[[#This Row],[Status]]="Delivered","On Time","Pending"))</f>
        <v>Late</v>
      </c>
      <c r="T4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40" s="11">
        <f ca="1">IF(Shipments[[#This Row],[ETA]]&lt;&gt;"", Shipments[[#This Row],[ETA]]-TODAY(), "")</f>
        <v>-12</v>
      </c>
      <c r="V40" s="13">
        <f>_xlfn.XLOOKUP(Shipments[[#This Row],[Carrier]], CarrierRef[Carrier], CarrierRef[BaseOnTime], "N/A")</f>
        <v>0.93</v>
      </c>
      <c r="W40" s="7" t="str">
        <f>IF(Shipments[[#This Row],[Allocation Type]]="AppleCare", IF(ISNUMBER(SEARCH("AppleCare", Shipments[[#This Row],[Carrier]])), "Compliant", "Liability Risk"), "Compliant")</f>
        <v>Liability Risk</v>
      </c>
      <c r="X40" s="11">
        <f>ROUND(100 - ((Shipments[[#This Row],[CO₂ Estimate (kg)]]/500)*40) - (Shipments[[#This Row],[RiskScoreCalc]]/3), 0)</f>
        <v>26</v>
      </c>
    </row>
    <row r="41" spans="1:24" x14ac:dyDescent="0.3">
      <c r="A41" s="6" t="s">
        <v>110</v>
      </c>
      <c r="B41" s="6" t="s">
        <v>19</v>
      </c>
      <c r="C41" s="6" t="s">
        <v>20</v>
      </c>
      <c r="D41" s="8">
        <v>46099</v>
      </c>
      <c r="E41" s="8">
        <v>46103</v>
      </c>
      <c r="F41" s="8">
        <v>46112</v>
      </c>
      <c r="G41" s="7">
        <v>46099.083333333336</v>
      </c>
      <c r="H41" s="7">
        <v>46102.958333333336</v>
      </c>
      <c r="I41" s="7">
        <v>46113.416666666664</v>
      </c>
      <c r="J41" s="6" t="s">
        <v>45</v>
      </c>
      <c r="K41" s="6" t="s">
        <v>111</v>
      </c>
      <c r="L41" s="6" t="s">
        <v>28</v>
      </c>
      <c r="M41" s="6">
        <v>-18</v>
      </c>
      <c r="N41" s="6" t="s">
        <v>24</v>
      </c>
      <c r="O41" s="6"/>
      <c r="P41" s="10">
        <v>626.9</v>
      </c>
      <c r="Q41" s="11">
        <v>47</v>
      </c>
      <c r="R41" s="9">
        <v>46128.397222222222</v>
      </c>
      <c r="S41" s="7" t="str">
        <f>IF(Shipments[[#This Row],[ATA]]&lt;&gt;"", IF(Shipments[[#This Row],[ATA]]&lt;=Shipments[[#This Row],[ETA]],"On Time","Late"), IF(Shipments[[#This Row],[Status]]="Delivered","On Time","Pending"))</f>
        <v>Late</v>
      </c>
      <c r="T4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114.4</v>
      </c>
      <c r="U41" s="11">
        <f ca="1">IF(Shipments[[#This Row],[ETA]]&lt;&gt;"", Shipments[[#This Row],[ETA]]-TODAY(), "")</f>
        <v>-17</v>
      </c>
      <c r="V41" s="13">
        <f>_xlfn.XLOOKUP(Shipments[[#This Row],[Carrier]], CarrierRef[Carrier], CarrierRef[BaseOnTime], "N/A")</f>
        <v>0.87</v>
      </c>
      <c r="W41" s="7" t="str">
        <f>IF(Shipments[[#This Row],[Allocation Type]]="AppleCare", IF(ISNUMBER(SEARCH("AppleCare", Shipments[[#This Row],[Carrier]])), "Compliant", "Liability Risk"), "Compliant")</f>
        <v>Liability Risk</v>
      </c>
      <c r="X41" s="11">
        <f>ROUND(100 - ((Shipments[[#This Row],[CO₂ Estimate (kg)]]/500)*40) - (Shipments[[#This Row],[RiskScoreCalc]]/3), 0)</f>
        <v>12</v>
      </c>
    </row>
    <row r="42" spans="1:24" x14ac:dyDescent="0.3">
      <c r="A42" s="6" t="s">
        <v>112</v>
      </c>
      <c r="B42" s="6" t="s">
        <v>58</v>
      </c>
      <c r="C42" s="6" t="s">
        <v>20</v>
      </c>
      <c r="D42" s="8">
        <v>46091</v>
      </c>
      <c r="E42" s="8">
        <v>46093</v>
      </c>
      <c r="F42" s="8">
        <v>46102</v>
      </c>
      <c r="G42" s="7">
        <v>46090.958333333336</v>
      </c>
      <c r="H42" s="7">
        <v>46093.458333333336</v>
      </c>
      <c r="I42" s="7">
        <v>46101.5</v>
      </c>
      <c r="J42" s="6" t="s">
        <v>45</v>
      </c>
      <c r="K42" s="6" t="s">
        <v>113</v>
      </c>
      <c r="L42" s="6" t="s">
        <v>28</v>
      </c>
      <c r="M42" s="6">
        <v>-16</v>
      </c>
      <c r="N42" s="6" t="s">
        <v>24</v>
      </c>
      <c r="O42" s="6"/>
      <c r="P42" s="10">
        <v>637.9</v>
      </c>
      <c r="Q42" s="11">
        <v>41</v>
      </c>
      <c r="R42" s="9">
        <v>46128.105555555558</v>
      </c>
      <c r="S42" s="7" t="str">
        <f>IF(Shipments[[#This Row],[ATA]]&lt;&gt;"", IF(Shipments[[#This Row],[ATA]]&lt;=Shipments[[#This Row],[ETA]],"On Time","Late"), IF(Shipments[[#This Row],[Status]]="Delivered","On Time","Pending"))</f>
        <v>On Time</v>
      </c>
      <c r="T4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112.8</v>
      </c>
      <c r="U42" s="11">
        <f ca="1">IF(Shipments[[#This Row],[ETA]]&lt;&gt;"", Shipments[[#This Row],[ETA]]-TODAY(), "")</f>
        <v>-27</v>
      </c>
      <c r="V42" s="13">
        <f>_xlfn.XLOOKUP(Shipments[[#This Row],[Carrier]], CarrierRef[Carrier], CarrierRef[BaseOnTime], "N/A")</f>
        <v>0.87</v>
      </c>
      <c r="W42" s="7" t="str">
        <f>IF(Shipments[[#This Row],[Allocation Type]]="AppleCare", IF(ISNUMBER(SEARCH("AppleCare", Shipments[[#This Row],[Carrier]])), "Compliant", "Liability Risk"), "Compliant")</f>
        <v>Liability Risk</v>
      </c>
      <c r="X42" s="11">
        <f>ROUND(100 - ((Shipments[[#This Row],[CO₂ Estimate (kg)]]/500)*40) - (Shipments[[#This Row],[RiskScoreCalc]]/3), 0)</f>
        <v>11</v>
      </c>
    </row>
    <row r="43" spans="1:24" x14ac:dyDescent="0.3">
      <c r="A43" s="6" t="s">
        <v>114</v>
      </c>
      <c r="B43" s="6" t="s">
        <v>33</v>
      </c>
      <c r="C43" s="6" t="s">
        <v>20</v>
      </c>
      <c r="D43" s="8">
        <v>46103</v>
      </c>
      <c r="E43" s="8">
        <v>46107</v>
      </c>
      <c r="F43" s="8">
        <v>46119</v>
      </c>
      <c r="G43" s="6"/>
      <c r="H43" s="7">
        <v>46107.333333333336</v>
      </c>
      <c r="I43" s="7">
        <v>46121</v>
      </c>
      <c r="J43" s="6" t="s">
        <v>45</v>
      </c>
      <c r="K43" s="6" t="s">
        <v>115</v>
      </c>
      <c r="L43" s="6" t="s">
        <v>28</v>
      </c>
      <c r="M43" s="6">
        <v>-19</v>
      </c>
      <c r="N43" s="6" t="s">
        <v>24</v>
      </c>
      <c r="O43" s="6"/>
      <c r="P43" s="10">
        <v>368.3</v>
      </c>
      <c r="Q43" s="11">
        <v>28</v>
      </c>
      <c r="R43" s="9">
        <v>46127.355555555558</v>
      </c>
      <c r="S43" s="7" t="str">
        <f>IF(Shipments[[#This Row],[ATA]]&lt;&gt;"", IF(Shipments[[#This Row],[ATA]]&lt;=Shipments[[#This Row],[ETA]],"On Time","Late"), IF(Shipments[[#This Row],[Status]]="Delivered","On Time","Pending"))</f>
        <v>Late</v>
      </c>
      <c r="T4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115.2</v>
      </c>
      <c r="U43" s="11">
        <f ca="1">IF(Shipments[[#This Row],[ETA]]&lt;&gt;"", Shipments[[#This Row],[ETA]]-TODAY(), "")</f>
        <v>-10</v>
      </c>
      <c r="V43" s="13">
        <f>_xlfn.XLOOKUP(Shipments[[#This Row],[Carrier]], CarrierRef[Carrier], CarrierRef[BaseOnTime], "N/A")</f>
        <v>0.87</v>
      </c>
      <c r="W43" s="7" t="str">
        <f>IF(Shipments[[#This Row],[Allocation Type]]="AppleCare", IF(ISNUMBER(SEARCH("AppleCare", Shipments[[#This Row],[Carrier]])), "Compliant", "Liability Risk"), "Compliant")</f>
        <v>Liability Risk</v>
      </c>
      <c r="X43" s="11">
        <f>ROUND(100 - ((Shipments[[#This Row],[CO₂ Estimate (kg)]]/500)*40) - (Shipments[[#This Row],[RiskScoreCalc]]/3), 0)</f>
        <v>32</v>
      </c>
    </row>
    <row r="44" spans="1:24" x14ac:dyDescent="0.3">
      <c r="A44" s="6" t="s">
        <v>116</v>
      </c>
      <c r="B44" s="6" t="s">
        <v>30</v>
      </c>
      <c r="C44" s="6" t="s">
        <v>20</v>
      </c>
      <c r="D44" s="8">
        <v>46091</v>
      </c>
      <c r="E44" s="8">
        <v>46095</v>
      </c>
      <c r="F44" s="8">
        <v>46103</v>
      </c>
      <c r="G44" s="7">
        <v>46094</v>
      </c>
      <c r="H44" s="7">
        <v>46099</v>
      </c>
      <c r="I44" s="7">
        <v>46108</v>
      </c>
      <c r="J44" s="6" t="s">
        <v>21</v>
      </c>
      <c r="K44" s="6" t="s">
        <v>117</v>
      </c>
      <c r="L44" s="6" t="s">
        <v>23</v>
      </c>
      <c r="M44" s="6">
        <v>102</v>
      </c>
      <c r="N44" s="6" t="s">
        <v>24</v>
      </c>
      <c r="O44" s="6"/>
      <c r="P44" s="10">
        <v>323.5</v>
      </c>
      <c r="Q44" s="11">
        <v>34</v>
      </c>
      <c r="R44" s="9">
        <v>46128.730555555558</v>
      </c>
      <c r="S44" s="7" t="str">
        <f>IF(Shipments[[#This Row],[ATA]]&lt;&gt;"", IF(Shipments[[#This Row],[ATA]]&lt;=Shipments[[#This Row],[ETA]],"On Time","Late"), IF(Shipments[[#This Row],[Status]]="Delivered","On Time","Pending"))</f>
        <v>Late</v>
      </c>
      <c r="T4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44" s="11">
        <f ca="1">IF(Shipments[[#This Row],[ETA]]&lt;&gt;"", Shipments[[#This Row],[ETA]]-TODAY(), "")</f>
        <v>-26</v>
      </c>
      <c r="V44" s="13">
        <f>_xlfn.XLOOKUP(Shipments[[#This Row],[Carrier]], CarrierRef[Carrier], CarrierRef[BaseOnTime], "N/A")</f>
        <v>0.94</v>
      </c>
      <c r="W44" s="7" t="str">
        <f>IF(Shipments[[#This Row],[Allocation Type]]="AppleCare", IF(ISNUMBER(SEARCH("AppleCare", Shipments[[#This Row],[Carrier]])), "Compliant", "Liability Risk"), "Compliant")</f>
        <v>Compliant</v>
      </c>
      <c r="X44" s="11">
        <f>ROUND(100 - ((Shipments[[#This Row],[CO₂ Estimate (kg)]]/500)*40) - (Shipments[[#This Row],[RiskScoreCalc]]/3), 0)</f>
        <v>41</v>
      </c>
    </row>
    <row r="45" spans="1:24" x14ac:dyDescent="0.3">
      <c r="A45" s="6" t="s">
        <v>118</v>
      </c>
      <c r="B45" s="6" t="s">
        <v>19</v>
      </c>
      <c r="C45" s="6" t="s">
        <v>20</v>
      </c>
      <c r="D45" s="8">
        <v>46095</v>
      </c>
      <c r="E45" s="8">
        <v>46097</v>
      </c>
      <c r="F45" s="8">
        <v>46103</v>
      </c>
      <c r="G45" s="7">
        <v>46095.583333333336</v>
      </c>
      <c r="H45" s="7">
        <v>46097.833333333336</v>
      </c>
      <c r="I45" s="7">
        <v>46104.333333333336</v>
      </c>
      <c r="J45" s="6" t="s">
        <v>21</v>
      </c>
      <c r="K45" s="6" t="s">
        <v>119</v>
      </c>
      <c r="L45" s="6" t="s">
        <v>23</v>
      </c>
      <c r="M45" s="6">
        <v>26</v>
      </c>
      <c r="N45" s="6" t="s">
        <v>52</v>
      </c>
      <c r="O45" s="6" t="s">
        <v>120</v>
      </c>
      <c r="P45" s="10">
        <v>512.29999999999995</v>
      </c>
      <c r="Q45" s="11">
        <v>62</v>
      </c>
      <c r="R45" s="9">
        <v>46127.647222222222</v>
      </c>
      <c r="S45" s="7" t="str">
        <f>IF(Shipments[[#This Row],[ATA]]&lt;&gt;"", IF(Shipments[[#This Row],[ATA]]&lt;=Shipments[[#This Row],[ETA]],"On Time","Late"), IF(Shipments[[#This Row],[Status]]="Delivered","On Time","Pending"))</f>
        <v>Late</v>
      </c>
      <c r="T4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45" s="11">
        <f ca="1">IF(Shipments[[#This Row],[ETA]]&lt;&gt;"", Shipments[[#This Row],[ETA]]-TODAY(), "")</f>
        <v>-26</v>
      </c>
      <c r="V45" s="13">
        <f>_xlfn.XLOOKUP(Shipments[[#This Row],[Carrier]], CarrierRef[Carrier], CarrierRef[BaseOnTime], "N/A")</f>
        <v>0.94</v>
      </c>
      <c r="W45" s="7" t="str">
        <f>IF(Shipments[[#This Row],[Allocation Type]]="AppleCare", IF(ISNUMBER(SEARCH("AppleCare", Shipments[[#This Row],[Carrier]])), "Compliant", "Liability Risk"), "Compliant")</f>
        <v>Compliant</v>
      </c>
      <c r="X45" s="11">
        <f>ROUND(100 - ((Shipments[[#This Row],[CO₂ Estimate (kg)]]/500)*40) - (Shipments[[#This Row],[RiskScoreCalc]]/3), 0)</f>
        <v>14</v>
      </c>
    </row>
    <row r="46" spans="1:24" x14ac:dyDescent="0.3">
      <c r="A46" s="6" t="s">
        <v>121</v>
      </c>
      <c r="B46" s="6" t="s">
        <v>19</v>
      </c>
      <c r="C46" s="6" t="s">
        <v>20</v>
      </c>
      <c r="D46" s="8">
        <v>46101</v>
      </c>
      <c r="E46" s="8">
        <v>46102</v>
      </c>
      <c r="F46" s="8">
        <v>46110</v>
      </c>
      <c r="G46" s="7">
        <v>46101.208333333336</v>
      </c>
      <c r="H46" s="7">
        <v>46102.041666666664</v>
      </c>
      <c r="I46" s="7">
        <v>46109.666666666664</v>
      </c>
      <c r="J46" s="6" t="s">
        <v>45</v>
      </c>
      <c r="K46" s="6" t="s">
        <v>122</v>
      </c>
      <c r="L46" s="6" t="s">
        <v>23</v>
      </c>
      <c r="M46" s="6">
        <v>30</v>
      </c>
      <c r="N46" s="6" t="s">
        <v>24</v>
      </c>
      <c r="O46" s="6"/>
      <c r="P46" s="10">
        <v>567.4</v>
      </c>
      <c r="Q46" s="11">
        <v>44</v>
      </c>
      <c r="R46" s="9">
        <v>46128.105555555558</v>
      </c>
      <c r="S46" s="7" t="str">
        <f>IF(Shipments[[#This Row],[ATA]]&lt;&gt;"", IF(Shipments[[#This Row],[ATA]]&lt;=Shipments[[#This Row],[ETA]],"On Time","Late"), IF(Shipments[[#This Row],[Status]]="Delivered","On Time","Pending"))</f>
        <v>On Time</v>
      </c>
      <c r="T4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46" s="11">
        <f ca="1">IF(Shipments[[#This Row],[ETA]]&lt;&gt;"", Shipments[[#This Row],[ETA]]-TODAY(), "")</f>
        <v>-19</v>
      </c>
      <c r="V46" s="13">
        <f>_xlfn.XLOOKUP(Shipments[[#This Row],[Carrier]], CarrierRef[Carrier], CarrierRef[BaseOnTime], "N/A")</f>
        <v>0.87</v>
      </c>
      <c r="W46" s="7" t="str">
        <f>IF(Shipments[[#This Row],[Allocation Type]]="AppleCare", IF(ISNUMBER(SEARCH("AppleCare", Shipments[[#This Row],[Carrier]])), "Compliant", "Liability Risk"), "Compliant")</f>
        <v>Compliant</v>
      </c>
      <c r="X46" s="11">
        <f>ROUND(100 - ((Shipments[[#This Row],[CO₂ Estimate (kg)]]/500)*40) - (Shipments[[#This Row],[RiskScoreCalc]]/3), 0)</f>
        <v>21</v>
      </c>
    </row>
    <row r="47" spans="1:24" x14ac:dyDescent="0.3">
      <c r="A47" s="6" t="s">
        <v>123</v>
      </c>
      <c r="B47" s="6" t="s">
        <v>30</v>
      </c>
      <c r="C47" s="6" t="s">
        <v>20</v>
      </c>
      <c r="D47" s="8">
        <v>46102</v>
      </c>
      <c r="E47" s="8">
        <v>46103</v>
      </c>
      <c r="F47" s="8">
        <v>46108</v>
      </c>
      <c r="G47" s="6"/>
      <c r="H47" s="7">
        <v>46108</v>
      </c>
      <c r="I47" s="7">
        <v>46112</v>
      </c>
      <c r="J47" s="6" t="s">
        <v>45</v>
      </c>
      <c r="K47" s="6" t="s">
        <v>124</v>
      </c>
      <c r="L47" s="6" t="s">
        <v>28</v>
      </c>
      <c r="M47" s="6">
        <v>10</v>
      </c>
      <c r="N47" s="6" t="s">
        <v>24</v>
      </c>
      <c r="O47" s="6"/>
      <c r="P47" s="10">
        <v>572.9</v>
      </c>
      <c r="Q47" s="11">
        <v>33</v>
      </c>
      <c r="R47" s="9">
        <v>46127.313888888886</v>
      </c>
      <c r="S47" s="7" t="str">
        <f>IF(Shipments[[#This Row],[ATA]]&lt;&gt;"", IF(Shipments[[#This Row],[ATA]]&lt;=Shipments[[#This Row],[ETA]],"On Time","Late"), IF(Shipments[[#This Row],[Status]]="Delivered","On Time","Pending"))</f>
        <v>Late</v>
      </c>
      <c r="T4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47" s="11">
        <f ca="1">IF(Shipments[[#This Row],[ETA]]&lt;&gt;"", Shipments[[#This Row],[ETA]]-TODAY(), "")</f>
        <v>-21</v>
      </c>
      <c r="V47" s="13">
        <f>_xlfn.XLOOKUP(Shipments[[#This Row],[Carrier]], CarrierRef[Carrier], CarrierRef[BaseOnTime], "N/A")</f>
        <v>0.87</v>
      </c>
      <c r="W47" s="7" t="str">
        <f>IF(Shipments[[#This Row],[Allocation Type]]="AppleCare", IF(ISNUMBER(SEARCH("AppleCare", Shipments[[#This Row],[Carrier]])), "Compliant", "Liability Risk"), "Compliant")</f>
        <v>Liability Risk</v>
      </c>
      <c r="X47" s="11">
        <f>ROUND(100 - ((Shipments[[#This Row],[CO₂ Estimate (kg)]]/500)*40) - (Shipments[[#This Row],[RiskScoreCalc]]/3), 0)</f>
        <v>21</v>
      </c>
    </row>
    <row r="48" spans="1:24" x14ac:dyDescent="0.3">
      <c r="A48" s="6" t="s">
        <v>125</v>
      </c>
      <c r="B48" s="6" t="s">
        <v>39</v>
      </c>
      <c r="C48" s="6" t="s">
        <v>126</v>
      </c>
      <c r="D48" s="8">
        <v>46117</v>
      </c>
      <c r="E48" s="8">
        <v>46120</v>
      </c>
      <c r="F48" s="8">
        <v>46127</v>
      </c>
      <c r="G48" s="7">
        <v>46120</v>
      </c>
      <c r="H48" s="7">
        <v>46124</v>
      </c>
      <c r="I48" s="6"/>
      <c r="J48" s="6" t="s">
        <v>45</v>
      </c>
      <c r="K48" s="6" t="s">
        <v>127</v>
      </c>
      <c r="L48" s="6" t="s">
        <v>28</v>
      </c>
      <c r="M48" s="6">
        <v>-22</v>
      </c>
      <c r="N48" s="6" t="s">
        <v>24</v>
      </c>
      <c r="O48" s="6"/>
      <c r="P48" s="10">
        <v>335</v>
      </c>
      <c r="Q48" s="11">
        <v>50</v>
      </c>
      <c r="R48" s="9">
        <v>46127.563888888886</v>
      </c>
      <c r="S48" s="7" t="str">
        <f>IF(Shipments[[#This Row],[ATA]]&lt;&gt;"", IF(Shipments[[#This Row],[ATA]]&lt;=Shipments[[#This Row],[ETA]],"On Time","Late"), IF(Shipments[[#This Row],[Status]]="Delivered","On Time","Pending"))</f>
        <v>Pending</v>
      </c>
      <c r="T4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117.6</v>
      </c>
      <c r="U48" s="11">
        <f ca="1">IF(Shipments[[#This Row],[ETA]]&lt;&gt;"", Shipments[[#This Row],[ETA]]-TODAY(), "")</f>
        <v>-2</v>
      </c>
      <c r="V48" s="13">
        <f>_xlfn.XLOOKUP(Shipments[[#This Row],[Carrier]], CarrierRef[Carrier], CarrierRef[BaseOnTime], "N/A")</f>
        <v>0.87</v>
      </c>
      <c r="W48" s="7" t="str">
        <f>IF(Shipments[[#This Row],[Allocation Type]]="AppleCare", IF(ISNUMBER(SEARCH("AppleCare", Shipments[[#This Row],[Carrier]])), "Compliant", "Liability Risk"), "Compliant")</f>
        <v>Liability Risk</v>
      </c>
      <c r="X48" s="11">
        <f>ROUND(100 - ((Shipments[[#This Row],[CO₂ Estimate (kg)]]/500)*40) - (Shipments[[#This Row],[RiskScoreCalc]]/3), 0)</f>
        <v>34</v>
      </c>
    </row>
    <row r="49" spans="1:24" x14ac:dyDescent="0.3">
      <c r="A49" s="6" t="s">
        <v>128</v>
      </c>
      <c r="B49" s="6" t="s">
        <v>39</v>
      </c>
      <c r="C49" s="6" t="s">
        <v>20</v>
      </c>
      <c r="D49" s="8">
        <v>46096</v>
      </c>
      <c r="E49" s="8">
        <v>46099</v>
      </c>
      <c r="F49" s="8">
        <v>46105</v>
      </c>
      <c r="G49" s="7">
        <v>46099</v>
      </c>
      <c r="H49" s="6"/>
      <c r="I49" s="7">
        <v>46107</v>
      </c>
      <c r="J49" s="6" t="s">
        <v>21</v>
      </c>
      <c r="K49" s="6" t="s">
        <v>129</v>
      </c>
      <c r="L49" s="6" t="s">
        <v>28</v>
      </c>
      <c r="M49" s="6">
        <v>90</v>
      </c>
      <c r="N49" s="6" t="s">
        <v>24</v>
      </c>
      <c r="O49" s="6"/>
      <c r="P49" s="10">
        <v>205.5</v>
      </c>
      <c r="Q49" s="11">
        <v>31</v>
      </c>
      <c r="R49" s="9">
        <v>46127.897222222222</v>
      </c>
      <c r="S49" s="7" t="str">
        <f>IF(Shipments[[#This Row],[ATA]]&lt;&gt;"", IF(Shipments[[#This Row],[ATA]]&lt;=Shipments[[#This Row],[ETA]],"On Time","Late"), IF(Shipments[[#This Row],[Status]]="Delivered","On Time","Pending"))</f>
        <v>Late</v>
      </c>
      <c r="T4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49" s="11">
        <f ca="1">IF(Shipments[[#This Row],[ETA]]&lt;&gt;"", Shipments[[#This Row],[ETA]]-TODAY(), "")</f>
        <v>-24</v>
      </c>
      <c r="V49" s="13">
        <f>_xlfn.XLOOKUP(Shipments[[#This Row],[Carrier]], CarrierRef[Carrier], CarrierRef[BaseOnTime], "N/A")</f>
        <v>0.94</v>
      </c>
      <c r="W49" s="7" t="str">
        <f>IF(Shipments[[#This Row],[Allocation Type]]="AppleCare", IF(ISNUMBER(SEARCH("AppleCare", Shipments[[#This Row],[Carrier]])), "Compliant", "Liability Risk"), "Compliant")</f>
        <v>Liability Risk</v>
      </c>
      <c r="X49" s="11">
        <f>ROUND(100 - ((Shipments[[#This Row],[CO₂ Estimate (kg)]]/500)*40) - (Shipments[[#This Row],[RiskScoreCalc]]/3), 0)</f>
        <v>50</v>
      </c>
    </row>
    <row r="50" spans="1:24" x14ac:dyDescent="0.3">
      <c r="A50" s="6" t="s">
        <v>130</v>
      </c>
      <c r="B50" s="6" t="s">
        <v>30</v>
      </c>
      <c r="C50" s="6" t="s">
        <v>131</v>
      </c>
      <c r="D50" s="8">
        <v>46117</v>
      </c>
      <c r="E50" s="8">
        <v>46120</v>
      </c>
      <c r="F50" s="8">
        <v>46132</v>
      </c>
      <c r="G50" s="7">
        <v>46120</v>
      </c>
      <c r="H50" s="7">
        <v>46121</v>
      </c>
      <c r="I50" s="6"/>
      <c r="J50" s="6" t="s">
        <v>45</v>
      </c>
      <c r="K50" s="6" t="s">
        <v>132</v>
      </c>
      <c r="L50" s="6" t="s">
        <v>23</v>
      </c>
      <c r="M50" s="6">
        <v>-8</v>
      </c>
      <c r="N50" s="6" t="s">
        <v>24</v>
      </c>
      <c r="O50" s="6"/>
      <c r="P50" s="10">
        <v>186.4</v>
      </c>
      <c r="Q50" s="11">
        <v>77</v>
      </c>
      <c r="R50" s="9">
        <v>46128.647222222222</v>
      </c>
      <c r="S50" s="7" t="str">
        <f>IF(Shipments[[#This Row],[ATA]]&lt;&gt;"", IF(Shipments[[#This Row],[ATA]]&lt;=Shipments[[#This Row],[ETA]],"On Time","Late"), IF(Shipments[[#This Row],[Status]]="Delivered","On Time","Pending"))</f>
        <v>Pending</v>
      </c>
      <c r="T5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151.4</v>
      </c>
      <c r="U50" s="11">
        <f ca="1">IF(Shipments[[#This Row],[ETA]]&lt;&gt;"", Shipments[[#This Row],[ETA]]-TODAY(), "")</f>
        <v>3</v>
      </c>
      <c r="V50" s="13">
        <f>_xlfn.XLOOKUP(Shipments[[#This Row],[Carrier]], CarrierRef[Carrier], CarrierRef[BaseOnTime], "N/A")</f>
        <v>0.87</v>
      </c>
      <c r="W50" s="7" t="str">
        <f>IF(Shipments[[#This Row],[Allocation Type]]="AppleCare", IF(ISNUMBER(SEARCH("AppleCare", Shipments[[#This Row],[Carrier]])), "Compliant", "Liability Risk"), "Compliant")</f>
        <v>Compliant</v>
      </c>
      <c r="X50" s="11">
        <f>ROUND(100 - ((Shipments[[#This Row],[CO₂ Estimate (kg)]]/500)*40) - (Shipments[[#This Row],[RiskScoreCalc]]/3), 0)</f>
        <v>35</v>
      </c>
    </row>
    <row r="51" spans="1:24" x14ac:dyDescent="0.3">
      <c r="A51" s="6" t="s">
        <v>133</v>
      </c>
      <c r="B51" s="6" t="s">
        <v>33</v>
      </c>
      <c r="C51" s="6" t="s">
        <v>20</v>
      </c>
      <c r="D51" s="8">
        <v>46103</v>
      </c>
      <c r="E51" s="8">
        <v>46106</v>
      </c>
      <c r="F51" s="8">
        <v>46115</v>
      </c>
      <c r="G51" s="7">
        <v>46103.75</v>
      </c>
      <c r="H51" s="7">
        <v>46106.916666666664</v>
      </c>
      <c r="I51" s="7">
        <v>46115.125</v>
      </c>
      <c r="J51" s="6" t="s">
        <v>26</v>
      </c>
      <c r="K51" s="6" t="s">
        <v>134</v>
      </c>
      <c r="L51" s="6" t="s">
        <v>23</v>
      </c>
      <c r="M51" s="6">
        <v>-11</v>
      </c>
      <c r="N51" s="6" t="s">
        <v>24</v>
      </c>
      <c r="O51" s="6"/>
      <c r="P51" s="10">
        <v>613.29999999999995</v>
      </c>
      <c r="Q51" s="11">
        <v>37</v>
      </c>
      <c r="R51" s="9">
        <v>46126.897222222222</v>
      </c>
      <c r="S51" s="7" t="str">
        <f>IF(Shipments[[#This Row],[ATA]]&lt;&gt;"", IF(Shipments[[#This Row],[ATA]]&lt;=Shipments[[#This Row],[ETA]],"On Time","Late"), IF(Shipments[[#This Row],[Status]]="Delivered","On Time","Pending"))</f>
        <v>Late</v>
      </c>
      <c r="T5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108.8</v>
      </c>
      <c r="U51" s="11">
        <f ca="1">IF(Shipments[[#This Row],[ETA]]&lt;&gt;"", Shipments[[#This Row],[ETA]]-TODAY(), "")</f>
        <v>-14</v>
      </c>
      <c r="V51" s="13">
        <f>_xlfn.XLOOKUP(Shipments[[#This Row],[Carrier]], CarrierRef[Carrier], CarrierRef[BaseOnTime], "N/A")</f>
        <v>0.91</v>
      </c>
      <c r="W51" s="7" t="str">
        <f>IF(Shipments[[#This Row],[Allocation Type]]="AppleCare", IF(ISNUMBER(SEARCH("AppleCare", Shipments[[#This Row],[Carrier]])), "Compliant", "Liability Risk"), "Compliant")</f>
        <v>Compliant</v>
      </c>
      <c r="X51" s="11">
        <f>ROUND(100 - ((Shipments[[#This Row],[CO₂ Estimate (kg)]]/500)*40) - (Shipments[[#This Row],[RiskScoreCalc]]/3), 0)</f>
        <v>15</v>
      </c>
    </row>
    <row r="52" spans="1:24" x14ac:dyDescent="0.3">
      <c r="A52" s="6" t="s">
        <v>135</v>
      </c>
      <c r="B52" s="6" t="s">
        <v>30</v>
      </c>
      <c r="C52" s="6" t="s">
        <v>126</v>
      </c>
      <c r="D52" s="8">
        <v>46114</v>
      </c>
      <c r="E52" s="8">
        <v>46115</v>
      </c>
      <c r="F52" s="8">
        <v>46124</v>
      </c>
      <c r="G52" s="7">
        <v>46117</v>
      </c>
      <c r="H52" s="7">
        <v>46117</v>
      </c>
      <c r="I52" s="6"/>
      <c r="J52" s="6" t="s">
        <v>45</v>
      </c>
      <c r="K52" s="6" t="s">
        <v>136</v>
      </c>
      <c r="L52" s="6" t="s">
        <v>28</v>
      </c>
      <c r="M52" s="6">
        <v>91</v>
      </c>
      <c r="N52" s="6" t="s">
        <v>24</v>
      </c>
      <c r="O52" s="6"/>
      <c r="P52" s="10">
        <v>618.4</v>
      </c>
      <c r="Q52" s="11">
        <v>42</v>
      </c>
      <c r="R52" s="9">
        <v>46128.355555555558</v>
      </c>
      <c r="S52" s="7" t="str">
        <f>IF(Shipments[[#This Row],[ATA]]&lt;&gt;"", IF(Shipments[[#This Row],[ATA]]&lt;=Shipments[[#This Row],[ETA]],"On Time","Late"), IF(Shipments[[#This Row],[Status]]="Delivered","On Time","Pending"))</f>
        <v>Pending</v>
      </c>
      <c r="T5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2" s="11">
        <f ca="1">IF(Shipments[[#This Row],[ETA]]&lt;&gt;"", Shipments[[#This Row],[ETA]]-TODAY(), "")</f>
        <v>-5</v>
      </c>
      <c r="V52" s="13">
        <f>_xlfn.XLOOKUP(Shipments[[#This Row],[Carrier]], CarrierRef[Carrier], CarrierRef[BaseOnTime], "N/A")</f>
        <v>0.87</v>
      </c>
      <c r="W52" s="7" t="str">
        <f>IF(Shipments[[#This Row],[Allocation Type]]="AppleCare", IF(ISNUMBER(SEARCH("AppleCare", Shipments[[#This Row],[Carrier]])), "Compliant", "Liability Risk"), "Compliant")</f>
        <v>Liability Risk</v>
      </c>
      <c r="X52" s="11">
        <f>ROUND(100 - ((Shipments[[#This Row],[CO₂ Estimate (kg)]]/500)*40) - (Shipments[[#This Row],[RiskScoreCalc]]/3), 0)</f>
        <v>17</v>
      </c>
    </row>
    <row r="53" spans="1:24" x14ac:dyDescent="0.3">
      <c r="A53" s="6" t="s">
        <v>137</v>
      </c>
      <c r="B53" s="6" t="s">
        <v>39</v>
      </c>
      <c r="C53" s="6" t="s">
        <v>20</v>
      </c>
      <c r="D53" s="8">
        <v>46111</v>
      </c>
      <c r="E53" s="8">
        <v>46115</v>
      </c>
      <c r="F53" s="8">
        <v>46126</v>
      </c>
      <c r="G53" s="6"/>
      <c r="H53" s="6"/>
      <c r="I53" s="7">
        <v>46125.583333333336</v>
      </c>
      <c r="J53" s="6" t="s">
        <v>21</v>
      </c>
      <c r="K53" s="6" t="s">
        <v>138</v>
      </c>
      <c r="L53" s="6" t="s">
        <v>28</v>
      </c>
      <c r="M53" s="6">
        <v>103</v>
      </c>
      <c r="N53" s="6" t="s">
        <v>24</v>
      </c>
      <c r="O53" s="6"/>
      <c r="P53" s="10">
        <v>227.2</v>
      </c>
      <c r="Q53" s="11">
        <v>42</v>
      </c>
      <c r="R53" s="9">
        <v>46127.688888888886</v>
      </c>
      <c r="S53" s="7" t="str">
        <f>IF(Shipments[[#This Row],[ATA]]&lt;&gt;"", IF(Shipments[[#This Row],[ATA]]&lt;=Shipments[[#This Row],[ETA]],"On Time","Late"), IF(Shipments[[#This Row],[Status]]="Delivered","On Time","Pending"))</f>
        <v>On Time</v>
      </c>
      <c r="T5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3" s="11">
        <f ca="1">IF(Shipments[[#This Row],[ETA]]&lt;&gt;"", Shipments[[#This Row],[ETA]]-TODAY(), "")</f>
        <v>-3</v>
      </c>
      <c r="V53" s="13">
        <f>_xlfn.XLOOKUP(Shipments[[#This Row],[Carrier]], CarrierRef[Carrier], CarrierRef[BaseOnTime], "N/A")</f>
        <v>0.94</v>
      </c>
      <c r="W53" s="7" t="str">
        <f>IF(Shipments[[#This Row],[Allocation Type]]="AppleCare", IF(ISNUMBER(SEARCH("AppleCare", Shipments[[#This Row],[Carrier]])), "Compliant", "Liability Risk"), "Compliant")</f>
        <v>Liability Risk</v>
      </c>
      <c r="X53" s="11">
        <f>ROUND(100 - ((Shipments[[#This Row],[CO₂ Estimate (kg)]]/500)*40) - (Shipments[[#This Row],[RiskScoreCalc]]/3), 0)</f>
        <v>48</v>
      </c>
    </row>
    <row r="54" spans="1:24" x14ac:dyDescent="0.3">
      <c r="A54" s="6" t="s">
        <v>139</v>
      </c>
      <c r="B54" s="6" t="s">
        <v>19</v>
      </c>
      <c r="C54" s="6" t="s">
        <v>20</v>
      </c>
      <c r="D54" s="8">
        <v>46103</v>
      </c>
      <c r="E54" s="8">
        <v>46106</v>
      </c>
      <c r="F54" s="8">
        <v>46116</v>
      </c>
      <c r="G54" s="7">
        <v>46103.541666666664</v>
      </c>
      <c r="H54" s="7">
        <v>46107.375</v>
      </c>
      <c r="I54" s="7">
        <v>46115.708333333336</v>
      </c>
      <c r="J54" s="6" t="s">
        <v>40</v>
      </c>
      <c r="K54" s="6" t="s">
        <v>140</v>
      </c>
      <c r="L54" s="6" t="s">
        <v>23</v>
      </c>
      <c r="M54" s="6">
        <v>88</v>
      </c>
      <c r="N54" s="6" t="s">
        <v>24</v>
      </c>
      <c r="O54" s="6"/>
      <c r="P54" s="10">
        <v>328.8</v>
      </c>
      <c r="Q54" s="11">
        <v>37</v>
      </c>
      <c r="R54" s="9">
        <v>46126.855555555558</v>
      </c>
      <c r="S54" s="7" t="str">
        <f>IF(Shipments[[#This Row],[ATA]]&lt;&gt;"", IF(Shipments[[#This Row],[ATA]]&lt;=Shipments[[#This Row],[ETA]],"On Time","Late"), IF(Shipments[[#This Row],[Status]]="Delivered","On Time","Pending"))</f>
        <v>On Time</v>
      </c>
      <c r="T5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4" s="11">
        <f ca="1">IF(Shipments[[#This Row],[ETA]]&lt;&gt;"", Shipments[[#This Row],[ETA]]-TODAY(), "")</f>
        <v>-13</v>
      </c>
      <c r="V54" s="13">
        <f>_xlfn.XLOOKUP(Shipments[[#This Row],[Carrier]], CarrierRef[Carrier], CarrierRef[BaseOnTime], "N/A")</f>
        <v>0.93</v>
      </c>
      <c r="W54" s="7" t="str">
        <f>IF(Shipments[[#This Row],[Allocation Type]]="AppleCare", IF(ISNUMBER(SEARCH("AppleCare", Shipments[[#This Row],[Carrier]])), "Compliant", "Liability Risk"), "Compliant")</f>
        <v>Compliant</v>
      </c>
      <c r="X54" s="11">
        <f>ROUND(100 - ((Shipments[[#This Row],[CO₂ Estimate (kg)]]/500)*40) - (Shipments[[#This Row],[RiskScoreCalc]]/3), 0)</f>
        <v>40</v>
      </c>
    </row>
    <row r="55" spans="1:24" x14ac:dyDescent="0.3">
      <c r="A55" s="6" t="s">
        <v>141</v>
      </c>
      <c r="B55" s="6" t="s">
        <v>19</v>
      </c>
      <c r="C55" s="6" t="s">
        <v>20</v>
      </c>
      <c r="D55" s="8">
        <v>46111</v>
      </c>
      <c r="E55" s="8">
        <v>46112</v>
      </c>
      <c r="F55" s="8">
        <v>46123</v>
      </c>
      <c r="G55" s="7">
        <v>46111</v>
      </c>
      <c r="H55" s="7">
        <v>46116</v>
      </c>
      <c r="I55" s="7">
        <v>46126</v>
      </c>
      <c r="J55" s="6" t="s">
        <v>50</v>
      </c>
      <c r="K55" s="6" t="s">
        <v>142</v>
      </c>
      <c r="L55" s="6" t="s">
        <v>23</v>
      </c>
      <c r="M55" s="6">
        <v>-41</v>
      </c>
      <c r="N55" s="6" t="s">
        <v>52</v>
      </c>
      <c r="O55" s="6" t="s">
        <v>143</v>
      </c>
      <c r="P55" s="10">
        <v>317.89999999999998</v>
      </c>
      <c r="Q55" s="11">
        <v>75</v>
      </c>
      <c r="R55" s="9">
        <v>46127.730555555558</v>
      </c>
      <c r="S55" s="7" t="str">
        <f>IF(Shipments[[#This Row],[ATA]]&lt;&gt;"", IF(Shipments[[#This Row],[ATA]]&lt;=Shipments[[#This Row],[ETA]],"On Time","Late"), IF(Shipments[[#This Row],[Status]]="Delivered","On Time","Pending"))</f>
        <v>Late</v>
      </c>
      <c r="T5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167.8</v>
      </c>
      <c r="U55" s="11">
        <f ca="1">IF(Shipments[[#This Row],[ETA]]&lt;&gt;"", Shipments[[#This Row],[ETA]]-TODAY(), "")</f>
        <v>-6</v>
      </c>
      <c r="V55" s="13">
        <f>_xlfn.XLOOKUP(Shipments[[#This Row],[Carrier]], CarrierRef[Carrier], CarrierRef[BaseOnTime], "N/A")</f>
        <v>0.92</v>
      </c>
      <c r="W55" s="7" t="str">
        <f>IF(Shipments[[#This Row],[Allocation Type]]="AppleCare", IF(ISNUMBER(SEARCH("AppleCare", Shipments[[#This Row],[Carrier]])), "Compliant", "Liability Risk"), "Compliant")</f>
        <v>Compliant</v>
      </c>
      <c r="X55" s="11">
        <f>ROUND(100 - ((Shipments[[#This Row],[CO₂ Estimate (kg)]]/500)*40) - (Shipments[[#This Row],[RiskScoreCalc]]/3), 0)</f>
        <v>19</v>
      </c>
    </row>
    <row r="56" spans="1:24" x14ac:dyDescent="0.3">
      <c r="A56" s="6" t="s">
        <v>144</v>
      </c>
      <c r="B56" s="6" t="s">
        <v>63</v>
      </c>
      <c r="C56" s="6" t="s">
        <v>20</v>
      </c>
      <c r="D56" s="8">
        <v>46090</v>
      </c>
      <c r="E56" s="8">
        <v>46094</v>
      </c>
      <c r="F56" s="8">
        <v>46102</v>
      </c>
      <c r="G56" s="6"/>
      <c r="H56" s="7">
        <v>46094.25</v>
      </c>
      <c r="I56" s="7">
        <v>46102.708333333336</v>
      </c>
      <c r="J56" s="6" t="s">
        <v>40</v>
      </c>
      <c r="K56" s="6" t="s">
        <v>61</v>
      </c>
      <c r="L56" s="6" t="s">
        <v>23</v>
      </c>
      <c r="M56" s="6">
        <v>69</v>
      </c>
      <c r="N56" s="6" t="s">
        <v>24</v>
      </c>
      <c r="O56" s="6"/>
      <c r="P56" s="10">
        <v>184.4</v>
      </c>
      <c r="Q56" s="11">
        <v>40</v>
      </c>
      <c r="R56" s="9">
        <v>46127.647222222222</v>
      </c>
      <c r="S56" s="7" t="str">
        <f>IF(Shipments[[#This Row],[ATA]]&lt;&gt;"", IF(Shipments[[#This Row],[ATA]]&lt;=Shipments[[#This Row],[ETA]],"On Time","Late"), IF(Shipments[[#This Row],[Status]]="Delivered","On Time","Pending"))</f>
        <v>Late</v>
      </c>
      <c r="T5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6" s="11">
        <f ca="1">IF(Shipments[[#This Row],[ETA]]&lt;&gt;"", Shipments[[#This Row],[ETA]]-TODAY(), "")</f>
        <v>-27</v>
      </c>
      <c r="V56" s="13">
        <f>_xlfn.XLOOKUP(Shipments[[#This Row],[Carrier]], CarrierRef[Carrier], CarrierRef[BaseOnTime], "N/A")</f>
        <v>0.93</v>
      </c>
      <c r="W56" s="7" t="str">
        <f>IF(Shipments[[#This Row],[Allocation Type]]="AppleCare", IF(ISNUMBER(SEARCH("AppleCare", Shipments[[#This Row],[Carrier]])), "Compliant", "Liability Risk"), "Compliant")</f>
        <v>Compliant</v>
      </c>
      <c r="X56" s="11">
        <f>ROUND(100 - ((Shipments[[#This Row],[CO₂ Estimate (kg)]]/500)*40) - (Shipments[[#This Row],[RiskScoreCalc]]/3), 0)</f>
        <v>52</v>
      </c>
    </row>
    <row r="57" spans="1:24" x14ac:dyDescent="0.3">
      <c r="A57" s="6" t="s">
        <v>145</v>
      </c>
      <c r="B57" s="6" t="s">
        <v>58</v>
      </c>
      <c r="C57" s="6" t="s">
        <v>146</v>
      </c>
      <c r="D57" s="8">
        <v>46110</v>
      </c>
      <c r="E57" s="8">
        <v>46113</v>
      </c>
      <c r="F57" s="8">
        <v>46125</v>
      </c>
      <c r="G57" s="7">
        <v>46111</v>
      </c>
      <c r="H57" s="7">
        <v>46117</v>
      </c>
      <c r="I57" s="6"/>
      <c r="J57" s="6" t="s">
        <v>50</v>
      </c>
      <c r="K57" s="6" t="s">
        <v>147</v>
      </c>
      <c r="L57" s="6" t="s">
        <v>28</v>
      </c>
      <c r="M57" s="6">
        <v>27</v>
      </c>
      <c r="N57" s="6" t="s">
        <v>24</v>
      </c>
      <c r="O57" s="6"/>
      <c r="P57" s="10">
        <v>318.8</v>
      </c>
      <c r="Q57" s="11">
        <v>41</v>
      </c>
      <c r="R57" s="9">
        <v>46127.105555555558</v>
      </c>
      <c r="S57" s="7" t="str">
        <f>IF(Shipments[[#This Row],[ATA]]&lt;&gt;"", IF(Shipments[[#This Row],[ATA]]&lt;=Shipments[[#This Row],[ETA]],"On Time","Late"), IF(Shipments[[#This Row],[Status]]="Delivered","On Time","Pending"))</f>
        <v>Pending</v>
      </c>
      <c r="T5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7" s="11">
        <f ca="1">IF(Shipments[[#This Row],[ETA]]&lt;&gt;"", Shipments[[#This Row],[ETA]]-TODAY(), "")</f>
        <v>-4</v>
      </c>
      <c r="V57" s="13">
        <f>_xlfn.XLOOKUP(Shipments[[#This Row],[Carrier]], CarrierRef[Carrier], CarrierRef[BaseOnTime], "N/A")</f>
        <v>0.92</v>
      </c>
      <c r="W57" s="7" t="str">
        <f>IF(Shipments[[#This Row],[Allocation Type]]="AppleCare", IF(ISNUMBER(SEARCH("AppleCare", Shipments[[#This Row],[Carrier]])), "Compliant", "Liability Risk"), "Compliant")</f>
        <v>Liability Risk</v>
      </c>
      <c r="X57" s="11">
        <f>ROUND(100 - ((Shipments[[#This Row],[CO₂ Estimate (kg)]]/500)*40) - (Shipments[[#This Row],[RiskScoreCalc]]/3), 0)</f>
        <v>41</v>
      </c>
    </row>
    <row r="58" spans="1:24" x14ac:dyDescent="0.3">
      <c r="A58" s="6" t="s">
        <v>148</v>
      </c>
      <c r="B58" s="6" t="s">
        <v>19</v>
      </c>
      <c r="C58" s="6" t="s">
        <v>20</v>
      </c>
      <c r="D58" s="8">
        <v>46114</v>
      </c>
      <c r="E58" s="8">
        <v>46117</v>
      </c>
      <c r="F58" s="8">
        <v>46125</v>
      </c>
      <c r="G58" s="7">
        <v>46114.416666666664</v>
      </c>
      <c r="H58" s="7">
        <v>46117.25</v>
      </c>
      <c r="I58" s="7">
        <v>46126.166666666664</v>
      </c>
      <c r="J58" s="6" t="s">
        <v>21</v>
      </c>
      <c r="K58" s="6" t="s">
        <v>149</v>
      </c>
      <c r="L58" s="6" t="s">
        <v>28</v>
      </c>
      <c r="M58" s="6">
        <v>16</v>
      </c>
      <c r="N58" s="6" t="s">
        <v>24</v>
      </c>
      <c r="O58" s="6"/>
      <c r="P58" s="10">
        <v>518.79999999999995</v>
      </c>
      <c r="Q58" s="11">
        <v>36</v>
      </c>
      <c r="R58" s="9">
        <v>46127.063888888886</v>
      </c>
      <c r="S58" s="7" t="str">
        <f>IF(Shipments[[#This Row],[ATA]]&lt;&gt;"", IF(Shipments[[#This Row],[ATA]]&lt;=Shipments[[#This Row],[ETA]],"On Time","Late"), IF(Shipments[[#This Row],[Status]]="Delivered","On Time","Pending"))</f>
        <v>Late</v>
      </c>
      <c r="T5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8" s="11">
        <f ca="1">IF(Shipments[[#This Row],[ETA]]&lt;&gt;"", Shipments[[#This Row],[ETA]]-TODAY(), "")</f>
        <v>-4</v>
      </c>
      <c r="V58" s="13">
        <f>_xlfn.XLOOKUP(Shipments[[#This Row],[Carrier]], CarrierRef[Carrier], CarrierRef[BaseOnTime], "N/A")</f>
        <v>0.94</v>
      </c>
      <c r="W58" s="7" t="str">
        <f>IF(Shipments[[#This Row],[Allocation Type]]="AppleCare", IF(ISNUMBER(SEARCH("AppleCare", Shipments[[#This Row],[Carrier]])), "Compliant", "Liability Risk"), "Compliant")</f>
        <v>Liability Risk</v>
      </c>
      <c r="X58" s="11">
        <f>ROUND(100 - ((Shipments[[#This Row],[CO₂ Estimate (kg)]]/500)*40) - (Shipments[[#This Row],[RiskScoreCalc]]/3), 0)</f>
        <v>25</v>
      </c>
    </row>
    <row r="59" spans="1:24" x14ac:dyDescent="0.3">
      <c r="A59" s="6" t="s">
        <v>150</v>
      </c>
      <c r="B59" s="6" t="s">
        <v>39</v>
      </c>
      <c r="C59" s="6" t="s">
        <v>20</v>
      </c>
      <c r="D59" s="8">
        <v>46111</v>
      </c>
      <c r="E59" s="8">
        <v>46113</v>
      </c>
      <c r="F59" s="8">
        <v>46119</v>
      </c>
      <c r="G59" s="7">
        <v>46113</v>
      </c>
      <c r="H59" s="7">
        <v>46117</v>
      </c>
      <c r="I59" s="7">
        <v>46122</v>
      </c>
      <c r="J59" s="6" t="s">
        <v>21</v>
      </c>
      <c r="K59" s="6" t="s">
        <v>151</v>
      </c>
      <c r="L59" s="6" t="s">
        <v>28</v>
      </c>
      <c r="M59" s="6">
        <v>90</v>
      </c>
      <c r="N59" s="6" t="s">
        <v>24</v>
      </c>
      <c r="O59" s="6"/>
      <c r="P59" s="10">
        <v>352</v>
      </c>
      <c r="Q59" s="11">
        <v>31</v>
      </c>
      <c r="R59" s="9">
        <v>46128.147222222222</v>
      </c>
      <c r="S59" s="7" t="str">
        <f>IF(Shipments[[#This Row],[ATA]]&lt;&gt;"", IF(Shipments[[#This Row],[ATA]]&lt;=Shipments[[#This Row],[ETA]],"On Time","Late"), IF(Shipments[[#This Row],[Status]]="Delivered","On Time","Pending"))</f>
        <v>Late</v>
      </c>
      <c r="T5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59" s="11">
        <f ca="1">IF(Shipments[[#This Row],[ETA]]&lt;&gt;"", Shipments[[#This Row],[ETA]]-TODAY(), "")</f>
        <v>-10</v>
      </c>
      <c r="V59" s="13">
        <f>_xlfn.XLOOKUP(Shipments[[#This Row],[Carrier]], CarrierRef[Carrier], CarrierRef[BaseOnTime], "N/A")</f>
        <v>0.94</v>
      </c>
      <c r="W59" s="7" t="str">
        <f>IF(Shipments[[#This Row],[Allocation Type]]="AppleCare", IF(ISNUMBER(SEARCH("AppleCare", Shipments[[#This Row],[Carrier]])), "Compliant", "Liability Risk"), "Compliant")</f>
        <v>Liability Risk</v>
      </c>
      <c r="X59" s="11">
        <f>ROUND(100 - ((Shipments[[#This Row],[CO₂ Estimate (kg)]]/500)*40) - (Shipments[[#This Row],[RiskScoreCalc]]/3), 0)</f>
        <v>39</v>
      </c>
    </row>
    <row r="60" spans="1:24" x14ac:dyDescent="0.3">
      <c r="A60" s="6" t="s">
        <v>152</v>
      </c>
      <c r="B60" s="6" t="s">
        <v>30</v>
      </c>
      <c r="C60" s="6" t="s">
        <v>153</v>
      </c>
      <c r="D60" s="8">
        <v>46113</v>
      </c>
      <c r="E60" s="8">
        <v>46114</v>
      </c>
      <c r="F60" s="8">
        <v>46126</v>
      </c>
      <c r="G60" s="7">
        <v>46114</v>
      </c>
      <c r="H60" s="7">
        <v>46116</v>
      </c>
      <c r="I60" s="6"/>
      <c r="J60" s="6" t="s">
        <v>26</v>
      </c>
      <c r="K60" s="6" t="s">
        <v>154</v>
      </c>
      <c r="L60" s="6" t="s">
        <v>28</v>
      </c>
      <c r="M60" s="6">
        <v>94</v>
      </c>
      <c r="N60" s="6" t="s">
        <v>24</v>
      </c>
      <c r="O60" s="6"/>
      <c r="P60" s="10">
        <v>551.6</v>
      </c>
      <c r="Q60" s="11">
        <v>15</v>
      </c>
      <c r="R60" s="9">
        <v>46128.188888888886</v>
      </c>
      <c r="S60" s="7" t="str">
        <f>IF(Shipments[[#This Row],[ATA]]&lt;&gt;"", IF(Shipments[[#This Row],[ATA]]&lt;=Shipments[[#This Row],[ETA]],"On Time","Late"), IF(Shipments[[#This Row],[Status]]="Delivered","On Time","Pending"))</f>
        <v>Pending</v>
      </c>
      <c r="T6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0" s="11">
        <f ca="1">IF(Shipments[[#This Row],[ETA]]&lt;&gt;"", Shipments[[#This Row],[ETA]]-TODAY(), "")</f>
        <v>-3</v>
      </c>
      <c r="V60" s="13">
        <f>_xlfn.XLOOKUP(Shipments[[#This Row],[Carrier]], CarrierRef[Carrier], CarrierRef[BaseOnTime], "N/A")</f>
        <v>0.91</v>
      </c>
      <c r="W60" s="7" t="str">
        <f>IF(Shipments[[#This Row],[Allocation Type]]="AppleCare", IF(ISNUMBER(SEARCH("AppleCare", Shipments[[#This Row],[Carrier]])), "Compliant", "Liability Risk"), "Compliant")</f>
        <v>Liability Risk</v>
      </c>
      <c r="X60" s="11">
        <f>ROUND(100 - ((Shipments[[#This Row],[CO₂ Estimate (kg)]]/500)*40) - (Shipments[[#This Row],[RiskScoreCalc]]/3), 0)</f>
        <v>23</v>
      </c>
    </row>
    <row r="61" spans="1:24" x14ac:dyDescent="0.3">
      <c r="A61" s="6" t="s">
        <v>155</v>
      </c>
      <c r="B61" s="6" t="s">
        <v>58</v>
      </c>
      <c r="C61" s="6" t="s">
        <v>20</v>
      </c>
      <c r="D61" s="8">
        <v>46091</v>
      </c>
      <c r="E61" s="8">
        <v>46093</v>
      </c>
      <c r="F61" s="8">
        <v>46105</v>
      </c>
      <c r="G61" s="7">
        <v>46091.958333333336</v>
      </c>
      <c r="H61" s="7">
        <v>46093.5</v>
      </c>
      <c r="I61" s="7">
        <v>46106.916666666664</v>
      </c>
      <c r="J61" s="6" t="s">
        <v>34</v>
      </c>
      <c r="K61" s="6" t="s">
        <v>156</v>
      </c>
      <c r="L61" s="6" t="s">
        <v>28</v>
      </c>
      <c r="M61" s="6">
        <v>117</v>
      </c>
      <c r="N61" s="6" t="s">
        <v>52</v>
      </c>
      <c r="O61" s="6" t="s">
        <v>157</v>
      </c>
      <c r="P61" s="10">
        <v>607.4</v>
      </c>
      <c r="Q61" s="11">
        <v>49</v>
      </c>
      <c r="R61" s="9">
        <v>46127.147222222222</v>
      </c>
      <c r="S61" s="7" t="str">
        <f>IF(Shipments[[#This Row],[ATA]]&lt;&gt;"", IF(Shipments[[#This Row],[ATA]]&lt;=Shipments[[#This Row],[ETA]],"On Time","Late"), IF(Shipments[[#This Row],[Status]]="Delivered","On Time","Pending"))</f>
        <v>Late</v>
      </c>
      <c r="T6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61" s="11">
        <f ca="1">IF(Shipments[[#This Row],[ETA]]&lt;&gt;"", Shipments[[#This Row],[ETA]]-TODAY(), "")</f>
        <v>-24</v>
      </c>
      <c r="V61" s="13">
        <f>_xlfn.XLOOKUP(Shipments[[#This Row],[Carrier]], CarrierRef[Carrier], CarrierRef[BaseOnTime], "N/A")</f>
        <v>0.89</v>
      </c>
      <c r="W61" s="7" t="str">
        <f>IF(Shipments[[#This Row],[Allocation Type]]="AppleCare", IF(ISNUMBER(SEARCH("AppleCare", Shipments[[#This Row],[Carrier]])), "Compliant", "Liability Risk"), "Compliant")</f>
        <v>Liability Risk</v>
      </c>
      <c r="X61" s="11">
        <f>ROUND(100 - ((Shipments[[#This Row],[CO₂ Estimate (kg)]]/500)*40) - (Shipments[[#This Row],[RiskScoreCalc]]/3), 0)</f>
        <v>6</v>
      </c>
    </row>
    <row r="62" spans="1:24" x14ac:dyDescent="0.3">
      <c r="A62" s="6" t="s">
        <v>158</v>
      </c>
      <c r="B62" s="6" t="s">
        <v>39</v>
      </c>
      <c r="C62" s="6" t="s">
        <v>20</v>
      </c>
      <c r="D62" s="8">
        <v>46095</v>
      </c>
      <c r="E62" s="8">
        <v>46097</v>
      </c>
      <c r="F62" s="8">
        <v>46108</v>
      </c>
      <c r="G62" s="7">
        <v>46095.916666666664</v>
      </c>
      <c r="H62" s="7">
        <v>46097.75</v>
      </c>
      <c r="I62" s="7">
        <v>46109.041666666664</v>
      </c>
      <c r="J62" s="6" t="s">
        <v>21</v>
      </c>
      <c r="K62" s="6" t="s">
        <v>159</v>
      </c>
      <c r="L62" s="6" t="s">
        <v>23</v>
      </c>
      <c r="M62" s="6">
        <v>-9</v>
      </c>
      <c r="N62" s="6" t="s">
        <v>24</v>
      </c>
      <c r="O62" s="6"/>
      <c r="P62" s="10">
        <v>487.8</v>
      </c>
      <c r="Q62" s="11">
        <v>46</v>
      </c>
      <c r="R62" s="9">
        <v>46127.563888888886</v>
      </c>
      <c r="S62" s="7" t="str">
        <f>IF(Shipments[[#This Row],[ATA]]&lt;&gt;"", IF(Shipments[[#This Row],[ATA]]&lt;=Shipments[[#This Row],[ETA]],"On Time","Late"), IF(Shipments[[#This Row],[Status]]="Delivered","On Time","Pending"))</f>
        <v>Late</v>
      </c>
      <c r="T6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107.2</v>
      </c>
      <c r="U62" s="11">
        <f ca="1">IF(Shipments[[#This Row],[ETA]]&lt;&gt;"", Shipments[[#This Row],[ETA]]-TODAY(), "")</f>
        <v>-21</v>
      </c>
      <c r="V62" s="13">
        <f>_xlfn.XLOOKUP(Shipments[[#This Row],[Carrier]], CarrierRef[Carrier], CarrierRef[BaseOnTime], "N/A")</f>
        <v>0.94</v>
      </c>
      <c r="W62" s="7" t="str">
        <f>IF(Shipments[[#This Row],[Allocation Type]]="AppleCare", IF(ISNUMBER(SEARCH("AppleCare", Shipments[[#This Row],[Carrier]])), "Compliant", "Liability Risk"), "Compliant")</f>
        <v>Compliant</v>
      </c>
      <c r="X62" s="11">
        <f>ROUND(100 - ((Shipments[[#This Row],[CO₂ Estimate (kg)]]/500)*40) - (Shipments[[#This Row],[RiskScoreCalc]]/3), 0)</f>
        <v>25</v>
      </c>
    </row>
    <row r="63" spans="1:24" x14ac:dyDescent="0.3">
      <c r="A63" s="6" t="s">
        <v>160</v>
      </c>
      <c r="B63" s="6" t="s">
        <v>39</v>
      </c>
      <c r="C63" s="6" t="s">
        <v>20</v>
      </c>
      <c r="D63" s="8">
        <v>46091</v>
      </c>
      <c r="E63" s="8">
        <v>46094</v>
      </c>
      <c r="F63" s="8">
        <v>46104</v>
      </c>
      <c r="G63" s="7">
        <v>46091.208333333336</v>
      </c>
      <c r="H63" s="7">
        <v>46094.166666666664</v>
      </c>
      <c r="I63" s="7">
        <v>46103.791666666664</v>
      </c>
      <c r="J63" s="6" t="s">
        <v>40</v>
      </c>
      <c r="K63" s="6" t="s">
        <v>161</v>
      </c>
      <c r="L63" s="6" t="s">
        <v>28</v>
      </c>
      <c r="M63" s="6">
        <v>68</v>
      </c>
      <c r="N63" s="6" t="s">
        <v>24</v>
      </c>
      <c r="O63" s="6"/>
      <c r="P63" s="10">
        <v>279.7</v>
      </c>
      <c r="Q63" s="11">
        <v>35</v>
      </c>
      <c r="R63" s="9">
        <v>46127.272222222222</v>
      </c>
      <c r="S63" s="7" t="str">
        <f>IF(Shipments[[#This Row],[ATA]]&lt;&gt;"", IF(Shipments[[#This Row],[ATA]]&lt;=Shipments[[#This Row],[ETA]],"On Time","Late"), IF(Shipments[[#This Row],[Status]]="Delivered","On Time","Pending"))</f>
        <v>On Time</v>
      </c>
      <c r="T6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3" s="11">
        <f ca="1">IF(Shipments[[#This Row],[ETA]]&lt;&gt;"", Shipments[[#This Row],[ETA]]-TODAY(), "")</f>
        <v>-25</v>
      </c>
      <c r="V63" s="13">
        <f>_xlfn.XLOOKUP(Shipments[[#This Row],[Carrier]], CarrierRef[Carrier], CarrierRef[BaseOnTime], "N/A")</f>
        <v>0.93</v>
      </c>
      <c r="W63" s="7" t="str">
        <f>IF(Shipments[[#This Row],[Allocation Type]]="AppleCare", IF(ISNUMBER(SEARCH("AppleCare", Shipments[[#This Row],[Carrier]])), "Compliant", "Liability Risk"), "Compliant")</f>
        <v>Liability Risk</v>
      </c>
      <c r="X63" s="11">
        <f>ROUND(100 - ((Shipments[[#This Row],[CO₂ Estimate (kg)]]/500)*40) - (Shipments[[#This Row],[RiskScoreCalc]]/3), 0)</f>
        <v>44</v>
      </c>
    </row>
    <row r="64" spans="1:24" x14ac:dyDescent="0.3">
      <c r="A64" s="6" t="s">
        <v>162</v>
      </c>
      <c r="B64" s="6" t="s">
        <v>58</v>
      </c>
      <c r="C64" s="6" t="s">
        <v>20</v>
      </c>
      <c r="D64" s="8">
        <v>46114</v>
      </c>
      <c r="E64" s="8">
        <v>46116</v>
      </c>
      <c r="F64" s="8">
        <v>46124</v>
      </c>
      <c r="G64" s="7">
        <v>46115</v>
      </c>
      <c r="H64" s="6"/>
      <c r="I64" s="7">
        <v>46127</v>
      </c>
      <c r="J64" s="6" t="s">
        <v>40</v>
      </c>
      <c r="K64" s="6" t="s">
        <v>163</v>
      </c>
      <c r="L64" s="6" t="s">
        <v>23</v>
      </c>
      <c r="M64" s="6">
        <v>104</v>
      </c>
      <c r="N64" s="6" t="s">
        <v>52</v>
      </c>
      <c r="O64" s="6" t="s">
        <v>85</v>
      </c>
      <c r="P64" s="10">
        <v>644.1</v>
      </c>
      <c r="Q64" s="11">
        <v>57</v>
      </c>
      <c r="R64" s="9">
        <v>46128.188888888886</v>
      </c>
      <c r="S64" s="7" t="str">
        <f>IF(Shipments[[#This Row],[ATA]]&lt;&gt;"", IF(Shipments[[#This Row],[ATA]]&lt;=Shipments[[#This Row],[ETA]],"On Time","Late"), IF(Shipments[[#This Row],[Status]]="Delivered","On Time","Pending"))</f>
        <v>Late</v>
      </c>
      <c r="T6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64" s="11">
        <f ca="1">IF(Shipments[[#This Row],[ETA]]&lt;&gt;"", Shipments[[#This Row],[ETA]]-TODAY(), "")</f>
        <v>-5</v>
      </c>
      <c r="V64" s="13">
        <f>_xlfn.XLOOKUP(Shipments[[#This Row],[Carrier]], CarrierRef[Carrier], CarrierRef[BaseOnTime], "N/A")</f>
        <v>0.93</v>
      </c>
      <c r="W64" s="7" t="str">
        <f>IF(Shipments[[#This Row],[Allocation Type]]="AppleCare", IF(ISNUMBER(SEARCH("AppleCare", Shipments[[#This Row],[Carrier]])), "Compliant", "Liability Risk"), "Compliant")</f>
        <v>Compliant</v>
      </c>
      <c r="X64" s="11">
        <f>ROUND(100 - ((Shipments[[#This Row],[CO₂ Estimate (kg)]]/500)*40) - (Shipments[[#This Row],[RiskScoreCalc]]/3), 0)</f>
        <v>3</v>
      </c>
    </row>
    <row r="65" spans="1:24" x14ac:dyDescent="0.3">
      <c r="A65" s="6" t="s">
        <v>164</v>
      </c>
      <c r="B65" s="6" t="s">
        <v>30</v>
      </c>
      <c r="C65" s="6" t="s">
        <v>20</v>
      </c>
      <c r="D65" s="8">
        <v>46088</v>
      </c>
      <c r="E65" s="8">
        <v>46090</v>
      </c>
      <c r="F65" s="8">
        <v>46099</v>
      </c>
      <c r="G65" s="6"/>
      <c r="H65" s="7">
        <v>46091.041666666664</v>
      </c>
      <c r="I65" s="7">
        <v>46098.791666666664</v>
      </c>
      <c r="J65" s="6" t="s">
        <v>40</v>
      </c>
      <c r="K65" s="6" t="s">
        <v>165</v>
      </c>
      <c r="L65" s="6" t="s">
        <v>28</v>
      </c>
      <c r="M65" s="6">
        <v>73</v>
      </c>
      <c r="N65" s="6" t="s">
        <v>24</v>
      </c>
      <c r="O65" s="6"/>
      <c r="P65" s="10">
        <v>350.2</v>
      </c>
      <c r="Q65" s="11">
        <v>33</v>
      </c>
      <c r="R65" s="9">
        <v>46128.605555555558</v>
      </c>
      <c r="S65" s="7" t="str">
        <f>IF(Shipments[[#This Row],[ATA]]&lt;&gt;"", IF(Shipments[[#This Row],[ATA]]&lt;=Shipments[[#This Row],[ETA]],"On Time","Late"), IF(Shipments[[#This Row],[Status]]="Delivered","On Time","Pending"))</f>
        <v>On Time</v>
      </c>
      <c r="T6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5" s="11">
        <f ca="1">IF(Shipments[[#This Row],[ETA]]&lt;&gt;"", Shipments[[#This Row],[ETA]]-TODAY(), "")</f>
        <v>-30</v>
      </c>
      <c r="V65" s="13">
        <f>_xlfn.XLOOKUP(Shipments[[#This Row],[Carrier]], CarrierRef[Carrier], CarrierRef[BaseOnTime], "N/A")</f>
        <v>0.93</v>
      </c>
      <c r="W65" s="7" t="str">
        <f>IF(Shipments[[#This Row],[Allocation Type]]="AppleCare", IF(ISNUMBER(SEARCH("AppleCare", Shipments[[#This Row],[Carrier]])), "Compliant", "Liability Risk"), "Compliant")</f>
        <v>Liability Risk</v>
      </c>
      <c r="X65" s="11">
        <f>ROUND(100 - ((Shipments[[#This Row],[CO₂ Estimate (kg)]]/500)*40) - (Shipments[[#This Row],[RiskScoreCalc]]/3), 0)</f>
        <v>39</v>
      </c>
    </row>
    <row r="66" spans="1:24" x14ac:dyDescent="0.3">
      <c r="A66" s="6" t="s">
        <v>166</v>
      </c>
      <c r="B66" s="6" t="s">
        <v>19</v>
      </c>
      <c r="C66" s="6" t="s">
        <v>20</v>
      </c>
      <c r="D66" s="8">
        <v>46102</v>
      </c>
      <c r="E66" s="8">
        <v>46103</v>
      </c>
      <c r="F66" s="8">
        <v>46108</v>
      </c>
      <c r="G66" s="7">
        <v>46105</v>
      </c>
      <c r="H66" s="7">
        <v>46107</v>
      </c>
      <c r="I66" s="7">
        <v>46115</v>
      </c>
      <c r="J66" s="6" t="s">
        <v>45</v>
      </c>
      <c r="K66" s="6" t="s">
        <v>167</v>
      </c>
      <c r="L66" s="6" t="s">
        <v>28</v>
      </c>
      <c r="M66" s="6">
        <v>65</v>
      </c>
      <c r="N66" s="6" t="s">
        <v>24</v>
      </c>
      <c r="O66" s="6"/>
      <c r="P66" s="10">
        <v>218</v>
      </c>
      <c r="Q66" s="11">
        <v>34</v>
      </c>
      <c r="R66" s="9">
        <v>46128.480555555558</v>
      </c>
      <c r="S66" s="7" t="str">
        <f>IF(Shipments[[#This Row],[ATA]]&lt;&gt;"", IF(Shipments[[#This Row],[ATA]]&lt;=Shipments[[#This Row],[ETA]],"On Time","Late"), IF(Shipments[[#This Row],[Status]]="Delivered","On Time","Pending"))</f>
        <v>Late</v>
      </c>
      <c r="T6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6" s="11">
        <f ca="1">IF(Shipments[[#This Row],[ETA]]&lt;&gt;"", Shipments[[#This Row],[ETA]]-TODAY(), "")</f>
        <v>-21</v>
      </c>
      <c r="V66" s="13">
        <f>_xlfn.XLOOKUP(Shipments[[#This Row],[Carrier]], CarrierRef[Carrier], CarrierRef[BaseOnTime], "N/A")</f>
        <v>0.87</v>
      </c>
      <c r="W66" s="7" t="str">
        <f>IF(Shipments[[#This Row],[Allocation Type]]="AppleCare", IF(ISNUMBER(SEARCH("AppleCare", Shipments[[#This Row],[Carrier]])), "Compliant", "Liability Risk"), "Compliant")</f>
        <v>Liability Risk</v>
      </c>
      <c r="X66" s="11">
        <f>ROUND(100 - ((Shipments[[#This Row],[CO₂ Estimate (kg)]]/500)*40) - (Shipments[[#This Row],[RiskScoreCalc]]/3), 0)</f>
        <v>49</v>
      </c>
    </row>
    <row r="67" spans="1:24" x14ac:dyDescent="0.3">
      <c r="A67" s="6" t="s">
        <v>168</v>
      </c>
      <c r="B67" s="6" t="s">
        <v>19</v>
      </c>
      <c r="C67" s="6" t="s">
        <v>20</v>
      </c>
      <c r="D67" s="8">
        <v>46107</v>
      </c>
      <c r="E67" s="8">
        <v>46110</v>
      </c>
      <c r="F67" s="8">
        <v>46122</v>
      </c>
      <c r="G67" s="7">
        <v>46107.625</v>
      </c>
      <c r="H67" s="7">
        <v>46109.916666666664</v>
      </c>
      <c r="I67" s="7">
        <v>46123.583333333336</v>
      </c>
      <c r="J67" s="6" t="s">
        <v>50</v>
      </c>
      <c r="K67" s="6" t="s">
        <v>169</v>
      </c>
      <c r="L67" s="6" t="s">
        <v>28</v>
      </c>
      <c r="M67" s="6">
        <v>119</v>
      </c>
      <c r="N67" s="6" t="s">
        <v>24</v>
      </c>
      <c r="O67" s="6"/>
      <c r="P67" s="10">
        <v>541.4</v>
      </c>
      <c r="Q67" s="11">
        <v>38</v>
      </c>
      <c r="R67" s="9">
        <v>46128.313888888886</v>
      </c>
      <c r="S67" s="7" t="str">
        <f>IF(Shipments[[#This Row],[ATA]]&lt;&gt;"", IF(Shipments[[#This Row],[ATA]]&lt;=Shipments[[#This Row],[ETA]],"On Time","Late"), IF(Shipments[[#This Row],[Status]]="Delivered","On Time","Pending"))</f>
        <v>Late</v>
      </c>
      <c r="T6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7" s="11">
        <f ca="1">IF(Shipments[[#This Row],[ETA]]&lt;&gt;"", Shipments[[#This Row],[ETA]]-TODAY(), "")</f>
        <v>-7</v>
      </c>
      <c r="V67" s="13">
        <f>_xlfn.XLOOKUP(Shipments[[#This Row],[Carrier]], CarrierRef[Carrier], CarrierRef[BaseOnTime], "N/A")</f>
        <v>0.92</v>
      </c>
      <c r="W67" s="7" t="str">
        <f>IF(Shipments[[#This Row],[Allocation Type]]="AppleCare", IF(ISNUMBER(SEARCH("AppleCare", Shipments[[#This Row],[Carrier]])), "Compliant", "Liability Risk"), "Compliant")</f>
        <v>Liability Risk</v>
      </c>
      <c r="X67" s="11">
        <f>ROUND(100 - ((Shipments[[#This Row],[CO₂ Estimate (kg)]]/500)*40) - (Shipments[[#This Row],[RiskScoreCalc]]/3), 0)</f>
        <v>23</v>
      </c>
    </row>
    <row r="68" spans="1:24" x14ac:dyDescent="0.3">
      <c r="A68" s="6" t="s">
        <v>170</v>
      </c>
      <c r="B68" s="6" t="s">
        <v>39</v>
      </c>
      <c r="C68" s="6" t="s">
        <v>20</v>
      </c>
      <c r="D68" s="8">
        <v>46098</v>
      </c>
      <c r="E68" s="8">
        <v>46102</v>
      </c>
      <c r="F68" s="8">
        <v>46112</v>
      </c>
      <c r="G68" s="6"/>
      <c r="H68" s="6"/>
      <c r="I68" s="7">
        <v>46119</v>
      </c>
      <c r="J68" s="6" t="s">
        <v>26</v>
      </c>
      <c r="K68" s="6" t="s">
        <v>171</v>
      </c>
      <c r="L68" s="6" t="s">
        <v>23</v>
      </c>
      <c r="M68" s="6">
        <v>-31</v>
      </c>
      <c r="N68" s="6" t="s">
        <v>24</v>
      </c>
      <c r="O68" s="6"/>
      <c r="P68" s="10">
        <v>220.1</v>
      </c>
      <c r="Q68" s="11">
        <v>46</v>
      </c>
      <c r="R68" s="9">
        <v>46128.605555555558</v>
      </c>
      <c r="S68" s="7" t="str">
        <f>IF(Shipments[[#This Row],[ATA]]&lt;&gt;"", IF(Shipments[[#This Row],[ATA]]&lt;=Shipments[[#This Row],[ETA]],"On Time","Late"), IF(Shipments[[#This Row],[Status]]="Delivered","On Time","Pending"))</f>
        <v>Late</v>
      </c>
      <c r="T6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124.8</v>
      </c>
      <c r="U68" s="11">
        <f ca="1">IF(Shipments[[#This Row],[ETA]]&lt;&gt;"", Shipments[[#This Row],[ETA]]-TODAY(), "")</f>
        <v>-17</v>
      </c>
      <c r="V68" s="13">
        <f>_xlfn.XLOOKUP(Shipments[[#This Row],[Carrier]], CarrierRef[Carrier], CarrierRef[BaseOnTime], "N/A")</f>
        <v>0.91</v>
      </c>
      <c r="W68" s="7" t="str">
        <f>IF(Shipments[[#This Row],[Allocation Type]]="AppleCare", IF(ISNUMBER(SEARCH("AppleCare", Shipments[[#This Row],[Carrier]])), "Compliant", "Liability Risk"), "Compliant")</f>
        <v>Compliant</v>
      </c>
      <c r="X68" s="11">
        <f>ROUND(100 - ((Shipments[[#This Row],[CO₂ Estimate (kg)]]/500)*40) - (Shipments[[#This Row],[RiskScoreCalc]]/3), 0)</f>
        <v>41</v>
      </c>
    </row>
    <row r="69" spans="1:24" x14ac:dyDescent="0.3">
      <c r="A69" s="6" t="s">
        <v>172</v>
      </c>
      <c r="B69" s="6" t="s">
        <v>58</v>
      </c>
      <c r="C69" s="6" t="s">
        <v>20</v>
      </c>
      <c r="D69" s="8">
        <v>46109</v>
      </c>
      <c r="E69" s="8">
        <v>46110</v>
      </c>
      <c r="F69" s="8">
        <v>46121</v>
      </c>
      <c r="G69" s="7">
        <v>46109.625</v>
      </c>
      <c r="H69" s="7">
        <v>46109.791666666664</v>
      </c>
      <c r="I69" s="7">
        <v>46121.25</v>
      </c>
      <c r="J69" s="6" t="s">
        <v>45</v>
      </c>
      <c r="K69" s="6" t="s">
        <v>173</v>
      </c>
      <c r="L69" s="6" t="s">
        <v>28</v>
      </c>
      <c r="M69" s="6">
        <v>42</v>
      </c>
      <c r="N69" s="6" t="s">
        <v>24</v>
      </c>
      <c r="O69" s="6"/>
      <c r="P69" s="10">
        <v>418.5</v>
      </c>
      <c r="Q69" s="11">
        <v>19</v>
      </c>
      <c r="R69" s="9">
        <v>46127.105555555558</v>
      </c>
      <c r="S69" s="7" t="str">
        <f>IF(Shipments[[#This Row],[ATA]]&lt;&gt;"", IF(Shipments[[#This Row],[ATA]]&lt;=Shipments[[#This Row],[ETA]],"On Time","Late"), IF(Shipments[[#This Row],[Status]]="Delivered","On Time","Pending"))</f>
        <v>Late</v>
      </c>
      <c r="T6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69" s="11">
        <f ca="1">IF(Shipments[[#This Row],[ETA]]&lt;&gt;"", Shipments[[#This Row],[ETA]]-TODAY(), "")</f>
        <v>-8</v>
      </c>
      <c r="V69" s="13">
        <f>_xlfn.XLOOKUP(Shipments[[#This Row],[Carrier]], CarrierRef[Carrier], CarrierRef[BaseOnTime], "N/A")</f>
        <v>0.87</v>
      </c>
      <c r="W69" s="7" t="str">
        <f>IF(Shipments[[#This Row],[Allocation Type]]="AppleCare", IF(ISNUMBER(SEARCH("AppleCare", Shipments[[#This Row],[Carrier]])), "Compliant", "Liability Risk"), "Compliant")</f>
        <v>Liability Risk</v>
      </c>
      <c r="X69" s="11">
        <f>ROUND(100 - ((Shipments[[#This Row],[CO₂ Estimate (kg)]]/500)*40) - (Shipments[[#This Row],[RiskScoreCalc]]/3), 0)</f>
        <v>33</v>
      </c>
    </row>
    <row r="70" spans="1:24" x14ac:dyDescent="0.3">
      <c r="A70" s="6" t="s">
        <v>174</v>
      </c>
      <c r="B70" s="6" t="s">
        <v>30</v>
      </c>
      <c r="C70" s="6" t="s">
        <v>20</v>
      </c>
      <c r="D70" s="8">
        <v>46113</v>
      </c>
      <c r="E70" s="8">
        <v>46117</v>
      </c>
      <c r="F70" s="8">
        <v>46122</v>
      </c>
      <c r="G70" s="6"/>
      <c r="H70" s="7">
        <v>46116.708333333336</v>
      </c>
      <c r="I70" s="7">
        <v>46121.958333333336</v>
      </c>
      <c r="J70" s="6" t="s">
        <v>45</v>
      </c>
      <c r="K70" s="6" t="s">
        <v>175</v>
      </c>
      <c r="L70" s="6" t="s">
        <v>23</v>
      </c>
      <c r="M70" s="6">
        <v>31</v>
      </c>
      <c r="N70" s="6" t="s">
        <v>24</v>
      </c>
      <c r="O70" s="6"/>
      <c r="P70" s="10">
        <v>345</v>
      </c>
      <c r="Q70" s="11">
        <v>20</v>
      </c>
      <c r="R70" s="9">
        <v>46128.480555555558</v>
      </c>
      <c r="S70" s="7" t="str">
        <f>IF(Shipments[[#This Row],[ATA]]&lt;&gt;"", IF(Shipments[[#This Row],[ATA]]&lt;=Shipments[[#This Row],[ETA]],"On Time","Late"), IF(Shipments[[#This Row],[Status]]="Delivered","On Time","Pending"))</f>
        <v>On Time</v>
      </c>
      <c r="T7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0" s="11">
        <f ca="1">IF(Shipments[[#This Row],[ETA]]&lt;&gt;"", Shipments[[#This Row],[ETA]]-TODAY(), "")</f>
        <v>-7</v>
      </c>
      <c r="V70" s="13">
        <f>_xlfn.XLOOKUP(Shipments[[#This Row],[Carrier]], CarrierRef[Carrier], CarrierRef[BaseOnTime], "N/A")</f>
        <v>0.87</v>
      </c>
      <c r="W70" s="7" t="str">
        <f>IF(Shipments[[#This Row],[Allocation Type]]="AppleCare", IF(ISNUMBER(SEARCH("AppleCare", Shipments[[#This Row],[Carrier]])), "Compliant", "Liability Risk"), "Compliant")</f>
        <v>Compliant</v>
      </c>
      <c r="X70" s="11">
        <f>ROUND(100 - ((Shipments[[#This Row],[CO₂ Estimate (kg)]]/500)*40) - (Shipments[[#This Row],[RiskScoreCalc]]/3), 0)</f>
        <v>39</v>
      </c>
    </row>
    <row r="71" spans="1:24" x14ac:dyDescent="0.3">
      <c r="A71" s="6" t="s">
        <v>176</v>
      </c>
      <c r="B71" s="6" t="s">
        <v>33</v>
      </c>
      <c r="C71" s="6" t="s">
        <v>20</v>
      </c>
      <c r="D71" s="8">
        <v>46100</v>
      </c>
      <c r="E71" s="8">
        <v>46104</v>
      </c>
      <c r="F71" s="8">
        <v>46116</v>
      </c>
      <c r="G71" s="6"/>
      <c r="H71" s="7">
        <v>46104.458333333336</v>
      </c>
      <c r="I71" s="7">
        <v>46117.416666666664</v>
      </c>
      <c r="J71" s="6" t="s">
        <v>21</v>
      </c>
      <c r="K71" s="6" t="s">
        <v>177</v>
      </c>
      <c r="L71" s="6" t="s">
        <v>23</v>
      </c>
      <c r="M71" s="6">
        <v>97</v>
      </c>
      <c r="N71" s="6" t="s">
        <v>24</v>
      </c>
      <c r="O71" s="6"/>
      <c r="P71" s="10">
        <v>595.20000000000005</v>
      </c>
      <c r="Q71" s="11">
        <v>19</v>
      </c>
      <c r="R71" s="9">
        <v>46128.438888888886</v>
      </c>
      <c r="S71" s="7" t="str">
        <f>IF(Shipments[[#This Row],[ATA]]&lt;&gt;"", IF(Shipments[[#This Row],[ATA]]&lt;=Shipments[[#This Row],[ETA]],"On Time","Late"), IF(Shipments[[#This Row],[Status]]="Delivered","On Time","Pending"))</f>
        <v>Late</v>
      </c>
      <c r="T7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1" s="11">
        <f ca="1">IF(Shipments[[#This Row],[ETA]]&lt;&gt;"", Shipments[[#This Row],[ETA]]-TODAY(), "")</f>
        <v>-13</v>
      </c>
      <c r="V71" s="13">
        <f>_xlfn.XLOOKUP(Shipments[[#This Row],[Carrier]], CarrierRef[Carrier], CarrierRef[BaseOnTime], "N/A")</f>
        <v>0.94</v>
      </c>
      <c r="W71" s="7" t="str">
        <f>IF(Shipments[[#This Row],[Allocation Type]]="AppleCare", IF(ISNUMBER(SEARCH("AppleCare", Shipments[[#This Row],[Carrier]])), "Compliant", "Liability Risk"), "Compliant")</f>
        <v>Compliant</v>
      </c>
      <c r="X71" s="11">
        <f>ROUND(100 - ((Shipments[[#This Row],[CO₂ Estimate (kg)]]/500)*40) - (Shipments[[#This Row],[RiskScoreCalc]]/3), 0)</f>
        <v>19</v>
      </c>
    </row>
    <row r="72" spans="1:24" x14ac:dyDescent="0.3">
      <c r="A72" s="6" t="s">
        <v>178</v>
      </c>
      <c r="B72" s="6" t="s">
        <v>39</v>
      </c>
      <c r="C72" s="6" t="s">
        <v>20</v>
      </c>
      <c r="D72" s="8">
        <v>46101</v>
      </c>
      <c r="E72" s="8">
        <v>46104</v>
      </c>
      <c r="F72" s="8">
        <v>46112</v>
      </c>
      <c r="G72" s="6"/>
      <c r="H72" s="7">
        <v>46107</v>
      </c>
      <c r="I72" s="7">
        <v>46117</v>
      </c>
      <c r="J72" s="6" t="s">
        <v>34</v>
      </c>
      <c r="K72" s="6" t="s">
        <v>179</v>
      </c>
      <c r="L72" s="6" t="s">
        <v>28</v>
      </c>
      <c r="M72" s="6">
        <v>103</v>
      </c>
      <c r="N72" s="6" t="s">
        <v>24</v>
      </c>
      <c r="O72" s="6"/>
      <c r="P72" s="10">
        <v>493.6</v>
      </c>
      <c r="Q72" s="11">
        <v>16</v>
      </c>
      <c r="R72" s="9">
        <v>46128.272222222222</v>
      </c>
      <c r="S72" s="7" t="str">
        <f>IF(Shipments[[#This Row],[ATA]]&lt;&gt;"", IF(Shipments[[#This Row],[ATA]]&lt;=Shipments[[#This Row],[ETA]],"On Time","Late"), IF(Shipments[[#This Row],[Status]]="Delivered","On Time","Pending"))</f>
        <v>Late</v>
      </c>
      <c r="T7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2" s="11">
        <f ca="1">IF(Shipments[[#This Row],[ETA]]&lt;&gt;"", Shipments[[#This Row],[ETA]]-TODAY(), "")</f>
        <v>-17</v>
      </c>
      <c r="V72" s="13">
        <f>_xlfn.XLOOKUP(Shipments[[#This Row],[Carrier]], CarrierRef[Carrier], CarrierRef[BaseOnTime], "N/A")</f>
        <v>0.89</v>
      </c>
      <c r="W72" s="7" t="str">
        <f>IF(Shipments[[#This Row],[Allocation Type]]="AppleCare", IF(ISNUMBER(SEARCH("AppleCare", Shipments[[#This Row],[Carrier]])), "Compliant", "Liability Risk"), "Compliant")</f>
        <v>Liability Risk</v>
      </c>
      <c r="X72" s="11">
        <f>ROUND(100 - ((Shipments[[#This Row],[CO₂ Estimate (kg)]]/500)*40) - (Shipments[[#This Row],[RiskScoreCalc]]/3), 0)</f>
        <v>27</v>
      </c>
    </row>
    <row r="73" spans="1:24" x14ac:dyDescent="0.3">
      <c r="A73" s="6" t="s">
        <v>180</v>
      </c>
      <c r="B73" s="6" t="s">
        <v>63</v>
      </c>
      <c r="C73" s="6" t="s">
        <v>20</v>
      </c>
      <c r="D73" s="8">
        <v>46097</v>
      </c>
      <c r="E73" s="8">
        <v>46100</v>
      </c>
      <c r="F73" s="8">
        <v>46106</v>
      </c>
      <c r="G73" s="7">
        <v>46097.625</v>
      </c>
      <c r="H73" s="7">
        <v>46100.125</v>
      </c>
      <c r="I73" s="7">
        <v>46105.833333333336</v>
      </c>
      <c r="J73" s="6" t="s">
        <v>40</v>
      </c>
      <c r="K73" s="6" t="s">
        <v>181</v>
      </c>
      <c r="L73" s="6" t="s">
        <v>28</v>
      </c>
      <c r="M73" s="6">
        <v>10</v>
      </c>
      <c r="N73" s="6" t="s">
        <v>24</v>
      </c>
      <c r="O73" s="6"/>
      <c r="P73" s="10">
        <v>571.70000000000005</v>
      </c>
      <c r="Q73" s="11">
        <v>40</v>
      </c>
      <c r="R73" s="9">
        <v>46127.938888888886</v>
      </c>
      <c r="S73" s="7" t="str">
        <f>IF(Shipments[[#This Row],[ATA]]&lt;&gt;"", IF(Shipments[[#This Row],[ATA]]&lt;=Shipments[[#This Row],[ETA]],"On Time","Late"), IF(Shipments[[#This Row],[Status]]="Delivered","On Time","Pending"))</f>
        <v>On Time</v>
      </c>
      <c r="T7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3" s="11">
        <f ca="1">IF(Shipments[[#This Row],[ETA]]&lt;&gt;"", Shipments[[#This Row],[ETA]]-TODAY(), "")</f>
        <v>-23</v>
      </c>
      <c r="V73" s="13">
        <f>_xlfn.XLOOKUP(Shipments[[#This Row],[Carrier]], CarrierRef[Carrier], CarrierRef[BaseOnTime], "N/A")</f>
        <v>0.93</v>
      </c>
      <c r="W73" s="7" t="str">
        <f>IF(Shipments[[#This Row],[Allocation Type]]="AppleCare", IF(ISNUMBER(SEARCH("AppleCare", Shipments[[#This Row],[Carrier]])), "Compliant", "Liability Risk"), "Compliant")</f>
        <v>Liability Risk</v>
      </c>
      <c r="X73" s="11">
        <f>ROUND(100 - ((Shipments[[#This Row],[CO₂ Estimate (kg)]]/500)*40) - (Shipments[[#This Row],[RiskScoreCalc]]/3), 0)</f>
        <v>21</v>
      </c>
    </row>
    <row r="74" spans="1:24" x14ac:dyDescent="0.3">
      <c r="A74" s="6" t="s">
        <v>182</v>
      </c>
      <c r="B74" s="6" t="s">
        <v>39</v>
      </c>
      <c r="C74" s="6" t="s">
        <v>20</v>
      </c>
      <c r="D74" s="8">
        <v>46106</v>
      </c>
      <c r="E74" s="8">
        <v>46110</v>
      </c>
      <c r="F74" s="8">
        <v>46121</v>
      </c>
      <c r="G74" s="7">
        <v>46109</v>
      </c>
      <c r="H74" s="7">
        <v>46113</v>
      </c>
      <c r="I74" s="7">
        <v>46123</v>
      </c>
      <c r="J74" s="6" t="s">
        <v>21</v>
      </c>
      <c r="K74" s="6" t="s">
        <v>183</v>
      </c>
      <c r="L74" s="6" t="s">
        <v>28</v>
      </c>
      <c r="M74" s="6">
        <v>35</v>
      </c>
      <c r="N74" s="6" t="s">
        <v>24</v>
      </c>
      <c r="O74" s="6"/>
      <c r="P74" s="10">
        <v>625.4</v>
      </c>
      <c r="Q74" s="11">
        <v>29</v>
      </c>
      <c r="R74" s="9">
        <v>46127.022222222222</v>
      </c>
      <c r="S74" s="7" t="str">
        <f>IF(Shipments[[#This Row],[ATA]]&lt;&gt;"", IF(Shipments[[#This Row],[ATA]]&lt;=Shipments[[#This Row],[ETA]],"On Time","Late"), IF(Shipments[[#This Row],[Status]]="Delivered","On Time","Pending"))</f>
        <v>Late</v>
      </c>
      <c r="T7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4" s="11">
        <f ca="1">IF(Shipments[[#This Row],[ETA]]&lt;&gt;"", Shipments[[#This Row],[ETA]]-TODAY(), "")</f>
        <v>-8</v>
      </c>
      <c r="V74" s="13">
        <f>_xlfn.XLOOKUP(Shipments[[#This Row],[Carrier]], CarrierRef[Carrier], CarrierRef[BaseOnTime], "N/A")</f>
        <v>0.94</v>
      </c>
      <c r="W74" s="7" t="str">
        <f>IF(Shipments[[#This Row],[Allocation Type]]="AppleCare", IF(ISNUMBER(SEARCH("AppleCare", Shipments[[#This Row],[Carrier]])), "Compliant", "Liability Risk"), "Compliant")</f>
        <v>Liability Risk</v>
      </c>
      <c r="X74" s="11">
        <f>ROUND(100 - ((Shipments[[#This Row],[CO₂ Estimate (kg)]]/500)*40) - (Shipments[[#This Row],[RiskScoreCalc]]/3), 0)</f>
        <v>17</v>
      </c>
    </row>
    <row r="75" spans="1:24" x14ac:dyDescent="0.3">
      <c r="A75" s="6" t="s">
        <v>184</v>
      </c>
      <c r="B75" s="6" t="s">
        <v>58</v>
      </c>
      <c r="C75" s="6" t="s">
        <v>20</v>
      </c>
      <c r="D75" s="8">
        <v>46100</v>
      </c>
      <c r="E75" s="8">
        <v>46103</v>
      </c>
      <c r="F75" s="8">
        <v>46113</v>
      </c>
      <c r="G75" s="6"/>
      <c r="H75" s="7">
        <v>46102.833333333336</v>
      </c>
      <c r="I75" s="7">
        <v>46113.833333333336</v>
      </c>
      <c r="J75" s="6" t="s">
        <v>34</v>
      </c>
      <c r="K75" s="6" t="s">
        <v>185</v>
      </c>
      <c r="L75" s="6" t="s">
        <v>23</v>
      </c>
      <c r="M75" s="6">
        <v>87</v>
      </c>
      <c r="N75" s="6" t="s">
        <v>24</v>
      </c>
      <c r="O75" s="6"/>
      <c r="P75" s="10">
        <v>605.79999999999995</v>
      </c>
      <c r="Q75" s="11">
        <v>26</v>
      </c>
      <c r="R75" s="9">
        <v>46127.938888888886</v>
      </c>
      <c r="S75" s="7" t="str">
        <f>IF(Shipments[[#This Row],[ATA]]&lt;&gt;"", IF(Shipments[[#This Row],[ATA]]&lt;=Shipments[[#This Row],[ETA]],"On Time","Late"), IF(Shipments[[#This Row],[Status]]="Delivered","On Time","Pending"))</f>
        <v>Late</v>
      </c>
      <c r="T7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5" s="11">
        <f ca="1">IF(Shipments[[#This Row],[ETA]]&lt;&gt;"", Shipments[[#This Row],[ETA]]-TODAY(), "")</f>
        <v>-16</v>
      </c>
      <c r="V75" s="13">
        <f>_xlfn.XLOOKUP(Shipments[[#This Row],[Carrier]], CarrierRef[Carrier], CarrierRef[BaseOnTime], "N/A")</f>
        <v>0.89</v>
      </c>
      <c r="W75" s="7" t="str">
        <f>IF(Shipments[[#This Row],[Allocation Type]]="AppleCare", IF(ISNUMBER(SEARCH("AppleCare", Shipments[[#This Row],[Carrier]])), "Compliant", "Liability Risk"), "Compliant")</f>
        <v>Compliant</v>
      </c>
      <c r="X75" s="11">
        <f>ROUND(100 - ((Shipments[[#This Row],[CO₂ Estimate (kg)]]/500)*40) - (Shipments[[#This Row],[RiskScoreCalc]]/3), 0)</f>
        <v>18</v>
      </c>
    </row>
    <row r="76" spans="1:24" x14ac:dyDescent="0.3">
      <c r="A76" s="6" t="s">
        <v>186</v>
      </c>
      <c r="B76" s="6" t="s">
        <v>63</v>
      </c>
      <c r="C76" s="6" t="s">
        <v>20</v>
      </c>
      <c r="D76" s="8">
        <v>46112</v>
      </c>
      <c r="E76" s="8">
        <v>46113</v>
      </c>
      <c r="F76" s="8">
        <v>46120</v>
      </c>
      <c r="G76" s="7">
        <v>46115</v>
      </c>
      <c r="H76" s="7">
        <v>46117</v>
      </c>
      <c r="I76" s="7">
        <v>46126</v>
      </c>
      <c r="J76" s="6" t="s">
        <v>45</v>
      </c>
      <c r="K76" s="6" t="s">
        <v>187</v>
      </c>
      <c r="L76" s="6" t="s">
        <v>23</v>
      </c>
      <c r="M76" s="6">
        <v>66</v>
      </c>
      <c r="N76" s="6" t="s">
        <v>24</v>
      </c>
      <c r="O76" s="6"/>
      <c r="P76" s="10">
        <v>594.6</v>
      </c>
      <c r="Q76" s="11">
        <v>35</v>
      </c>
      <c r="R76" s="9">
        <v>46127.188888888886</v>
      </c>
      <c r="S76" s="7" t="str">
        <f>IF(Shipments[[#This Row],[ATA]]&lt;&gt;"", IF(Shipments[[#This Row],[ATA]]&lt;=Shipments[[#This Row],[ETA]],"On Time","Late"), IF(Shipments[[#This Row],[Status]]="Delivered","On Time","Pending"))</f>
        <v>Late</v>
      </c>
      <c r="T7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6" s="11">
        <f ca="1">IF(Shipments[[#This Row],[ETA]]&lt;&gt;"", Shipments[[#This Row],[ETA]]-TODAY(), "")</f>
        <v>-9</v>
      </c>
      <c r="V76" s="13">
        <f>_xlfn.XLOOKUP(Shipments[[#This Row],[Carrier]], CarrierRef[Carrier], CarrierRef[BaseOnTime], "N/A")</f>
        <v>0.87</v>
      </c>
      <c r="W76" s="7" t="str">
        <f>IF(Shipments[[#This Row],[Allocation Type]]="AppleCare", IF(ISNUMBER(SEARCH("AppleCare", Shipments[[#This Row],[Carrier]])), "Compliant", "Liability Risk"), "Compliant")</f>
        <v>Compliant</v>
      </c>
      <c r="X76" s="11">
        <f>ROUND(100 - ((Shipments[[#This Row],[CO₂ Estimate (kg)]]/500)*40) - (Shipments[[#This Row],[RiskScoreCalc]]/3), 0)</f>
        <v>19</v>
      </c>
    </row>
    <row r="77" spans="1:24" x14ac:dyDescent="0.3">
      <c r="A77" s="6" t="s">
        <v>188</v>
      </c>
      <c r="B77" s="6" t="s">
        <v>39</v>
      </c>
      <c r="C77" s="6" t="s">
        <v>20</v>
      </c>
      <c r="D77" s="8">
        <v>46102</v>
      </c>
      <c r="E77" s="8">
        <v>46105</v>
      </c>
      <c r="F77" s="8">
        <v>46114</v>
      </c>
      <c r="G77" s="7">
        <v>46102.416666666664</v>
      </c>
      <c r="H77" s="7">
        <v>46106</v>
      </c>
      <c r="I77" s="7">
        <v>46113.666666666664</v>
      </c>
      <c r="J77" s="6" t="s">
        <v>21</v>
      </c>
      <c r="K77" s="6" t="s">
        <v>189</v>
      </c>
      <c r="L77" s="6" t="s">
        <v>28</v>
      </c>
      <c r="M77" s="6">
        <v>67</v>
      </c>
      <c r="N77" s="6" t="s">
        <v>52</v>
      </c>
      <c r="O77" s="6" t="s">
        <v>120</v>
      </c>
      <c r="P77" s="10">
        <v>570.9</v>
      </c>
      <c r="Q77" s="11">
        <v>42</v>
      </c>
      <c r="R77" s="9">
        <v>46127.147222222222</v>
      </c>
      <c r="S77" s="7" t="str">
        <f>IF(Shipments[[#This Row],[ATA]]&lt;&gt;"", IF(Shipments[[#This Row],[ATA]]&lt;=Shipments[[#This Row],[ETA]],"On Time","Late"), IF(Shipments[[#This Row],[Status]]="Delivered","On Time","Pending"))</f>
        <v>On Time</v>
      </c>
      <c r="T7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77" s="11">
        <f ca="1">IF(Shipments[[#This Row],[ETA]]&lt;&gt;"", Shipments[[#This Row],[ETA]]-TODAY(), "")</f>
        <v>-15</v>
      </c>
      <c r="V77" s="13">
        <f>_xlfn.XLOOKUP(Shipments[[#This Row],[Carrier]], CarrierRef[Carrier], CarrierRef[BaseOnTime], "N/A")</f>
        <v>0.94</v>
      </c>
      <c r="W77" s="7" t="str">
        <f>IF(Shipments[[#This Row],[Allocation Type]]="AppleCare", IF(ISNUMBER(SEARCH("AppleCare", Shipments[[#This Row],[Carrier]])), "Compliant", "Liability Risk"), "Compliant")</f>
        <v>Liability Risk</v>
      </c>
      <c r="X77" s="11">
        <f>ROUND(100 - ((Shipments[[#This Row],[CO₂ Estimate (kg)]]/500)*40) - (Shipments[[#This Row],[RiskScoreCalc]]/3), 0)</f>
        <v>9</v>
      </c>
    </row>
    <row r="78" spans="1:24" x14ac:dyDescent="0.3">
      <c r="A78" s="6" t="s">
        <v>190</v>
      </c>
      <c r="B78" s="6" t="s">
        <v>58</v>
      </c>
      <c r="C78" s="6" t="s">
        <v>20</v>
      </c>
      <c r="D78" s="8">
        <v>46102</v>
      </c>
      <c r="E78" s="8">
        <v>46104</v>
      </c>
      <c r="F78" s="8">
        <v>46114</v>
      </c>
      <c r="G78" s="7">
        <v>46102.833333333336</v>
      </c>
      <c r="H78" s="7">
        <v>46104.041666666664</v>
      </c>
      <c r="I78" s="7">
        <v>46113.625</v>
      </c>
      <c r="J78" s="6" t="s">
        <v>45</v>
      </c>
      <c r="K78" s="6" t="s">
        <v>191</v>
      </c>
      <c r="L78" s="6" t="s">
        <v>23</v>
      </c>
      <c r="M78" s="6">
        <v>39</v>
      </c>
      <c r="N78" s="6" t="s">
        <v>24</v>
      </c>
      <c r="O78" s="6"/>
      <c r="P78" s="10">
        <v>219.6</v>
      </c>
      <c r="Q78" s="11">
        <v>35</v>
      </c>
      <c r="R78" s="9">
        <v>46128.397222222222</v>
      </c>
      <c r="S78" s="7" t="str">
        <f>IF(Shipments[[#This Row],[ATA]]&lt;&gt;"", IF(Shipments[[#This Row],[ATA]]&lt;=Shipments[[#This Row],[ETA]],"On Time","Late"), IF(Shipments[[#This Row],[Status]]="Delivered","On Time","Pending"))</f>
        <v>On Time</v>
      </c>
      <c r="T7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8" s="11">
        <f ca="1">IF(Shipments[[#This Row],[ETA]]&lt;&gt;"", Shipments[[#This Row],[ETA]]-TODAY(), "")</f>
        <v>-15</v>
      </c>
      <c r="V78" s="13">
        <f>_xlfn.XLOOKUP(Shipments[[#This Row],[Carrier]], CarrierRef[Carrier], CarrierRef[BaseOnTime], "N/A")</f>
        <v>0.87</v>
      </c>
      <c r="W78" s="7" t="str">
        <f>IF(Shipments[[#This Row],[Allocation Type]]="AppleCare", IF(ISNUMBER(SEARCH("AppleCare", Shipments[[#This Row],[Carrier]])), "Compliant", "Liability Risk"), "Compliant")</f>
        <v>Compliant</v>
      </c>
      <c r="X78" s="11">
        <f>ROUND(100 - ((Shipments[[#This Row],[CO₂ Estimate (kg)]]/500)*40) - (Shipments[[#This Row],[RiskScoreCalc]]/3), 0)</f>
        <v>49</v>
      </c>
    </row>
    <row r="79" spans="1:24" x14ac:dyDescent="0.3">
      <c r="A79" s="6" t="s">
        <v>192</v>
      </c>
      <c r="B79" s="6" t="s">
        <v>58</v>
      </c>
      <c r="C79" s="6" t="s">
        <v>20</v>
      </c>
      <c r="D79" s="8">
        <v>46099</v>
      </c>
      <c r="E79" s="8">
        <v>46102</v>
      </c>
      <c r="F79" s="8">
        <v>46111</v>
      </c>
      <c r="G79" s="7">
        <v>46099.375</v>
      </c>
      <c r="H79" s="7">
        <v>46103.458333333336</v>
      </c>
      <c r="I79" s="7">
        <v>46112.083333333336</v>
      </c>
      <c r="J79" s="6" t="s">
        <v>45</v>
      </c>
      <c r="K79" s="6" t="s">
        <v>193</v>
      </c>
      <c r="L79" s="6" t="s">
        <v>23</v>
      </c>
      <c r="M79" s="6">
        <v>113</v>
      </c>
      <c r="N79" s="6" t="s">
        <v>24</v>
      </c>
      <c r="O79" s="6"/>
      <c r="P79" s="10">
        <v>211</v>
      </c>
      <c r="Q79" s="11">
        <v>18</v>
      </c>
      <c r="R79" s="9">
        <v>46127.397222222222</v>
      </c>
      <c r="S79" s="7" t="str">
        <f>IF(Shipments[[#This Row],[ATA]]&lt;&gt;"", IF(Shipments[[#This Row],[ATA]]&lt;=Shipments[[#This Row],[ETA]],"On Time","Late"), IF(Shipments[[#This Row],[Status]]="Delivered","On Time","Pending"))</f>
        <v>Late</v>
      </c>
      <c r="T7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79" s="11">
        <f ca="1">IF(Shipments[[#This Row],[ETA]]&lt;&gt;"", Shipments[[#This Row],[ETA]]-TODAY(), "")</f>
        <v>-18</v>
      </c>
      <c r="V79" s="13">
        <f>_xlfn.XLOOKUP(Shipments[[#This Row],[Carrier]], CarrierRef[Carrier], CarrierRef[BaseOnTime], "N/A")</f>
        <v>0.87</v>
      </c>
      <c r="W79" s="7" t="str">
        <f>IF(Shipments[[#This Row],[Allocation Type]]="AppleCare", IF(ISNUMBER(SEARCH("AppleCare", Shipments[[#This Row],[Carrier]])), "Compliant", "Liability Risk"), "Compliant")</f>
        <v>Compliant</v>
      </c>
      <c r="X79" s="11">
        <f>ROUND(100 - ((Shipments[[#This Row],[CO₂ Estimate (kg)]]/500)*40) - (Shipments[[#This Row],[RiskScoreCalc]]/3), 0)</f>
        <v>50</v>
      </c>
    </row>
    <row r="80" spans="1:24" x14ac:dyDescent="0.3">
      <c r="A80" s="6" t="s">
        <v>194</v>
      </c>
      <c r="B80" s="6" t="s">
        <v>58</v>
      </c>
      <c r="C80" s="6" t="s">
        <v>20</v>
      </c>
      <c r="D80" s="8">
        <v>46090</v>
      </c>
      <c r="E80" s="8">
        <v>46092</v>
      </c>
      <c r="F80" s="8">
        <v>46102</v>
      </c>
      <c r="G80" s="7">
        <v>46090.541666666664</v>
      </c>
      <c r="H80" s="7">
        <v>46092</v>
      </c>
      <c r="I80" s="7">
        <v>46103.083333333336</v>
      </c>
      <c r="J80" s="6" t="s">
        <v>40</v>
      </c>
      <c r="K80" s="6" t="s">
        <v>195</v>
      </c>
      <c r="L80" s="6" t="s">
        <v>28</v>
      </c>
      <c r="M80" s="6">
        <v>-27</v>
      </c>
      <c r="N80" s="6" t="s">
        <v>24</v>
      </c>
      <c r="O80" s="6"/>
      <c r="P80" s="10">
        <v>357</v>
      </c>
      <c r="Q80" s="11">
        <v>56</v>
      </c>
      <c r="R80" s="9">
        <v>46127.980555555558</v>
      </c>
      <c r="S80" s="7" t="str">
        <f>IF(Shipments[[#This Row],[ATA]]&lt;&gt;"", IF(Shipments[[#This Row],[ATA]]&lt;=Shipments[[#This Row],[ETA]],"On Time","Late"), IF(Shipments[[#This Row],[Status]]="Delivered","On Time","Pending"))</f>
        <v>Late</v>
      </c>
      <c r="T8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121.6</v>
      </c>
      <c r="U80" s="11">
        <f ca="1">IF(Shipments[[#This Row],[ETA]]&lt;&gt;"", Shipments[[#This Row],[ETA]]-TODAY(), "")</f>
        <v>-27</v>
      </c>
      <c r="V80" s="13">
        <f>_xlfn.XLOOKUP(Shipments[[#This Row],[Carrier]], CarrierRef[Carrier], CarrierRef[BaseOnTime], "N/A")</f>
        <v>0.93</v>
      </c>
      <c r="W80" s="7" t="str">
        <f>IF(Shipments[[#This Row],[Allocation Type]]="AppleCare", IF(ISNUMBER(SEARCH("AppleCare", Shipments[[#This Row],[Carrier]])), "Compliant", "Liability Risk"), "Compliant")</f>
        <v>Liability Risk</v>
      </c>
      <c r="X80" s="11">
        <f>ROUND(100 - ((Shipments[[#This Row],[CO₂ Estimate (kg)]]/500)*40) - (Shipments[[#This Row],[RiskScoreCalc]]/3), 0)</f>
        <v>31</v>
      </c>
    </row>
    <row r="81" spans="1:24" x14ac:dyDescent="0.3">
      <c r="A81" s="6" t="s">
        <v>196</v>
      </c>
      <c r="B81" s="6" t="s">
        <v>30</v>
      </c>
      <c r="C81" s="6" t="s">
        <v>20</v>
      </c>
      <c r="D81" s="8">
        <v>46097</v>
      </c>
      <c r="E81" s="8">
        <v>46099</v>
      </c>
      <c r="F81" s="8">
        <v>46107</v>
      </c>
      <c r="G81" s="7">
        <v>46097.791666666664</v>
      </c>
      <c r="H81" s="7">
        <v>46099.166666666664</v>
      </c>
      <c r="I81" s="7">
        <v>46107.083333333336</v>
      </c>
      <c r="J81" s="6" t="s">
        <v>21</v>
      </c>
      <c r="K81" s="6" t="s">
        <v>197</v>
      </c>
      <c r="L81" s="6" t="s">
        <v>28</v>
      </c>
      <c r="M81" s="6">
        <v>-9</v>
      </c>
      <c r="N81" s="6" t="s">
        <v>24</v>
      </c>
      <c r="O81" s="6"/>
      <c r="P81" s="10">
        <v>576.9</v>
      </c>
      <c r="Q81" s="11">
        <v>23</v>
      </c>
      <c r="R81" s="9">
        <v>46127.522222222222</v>
      </c>
      <c r="S81" s="7" t="str">
        <f>IF(Shipments[[#This Row],[ATA]]&lt;&gt;"", IF(Shipments[[#This Row],[ATA]]&lt;=Shipments[[#This Row],[ETA]],"On Time","Late"), IF(Shipments[[#This Row],[Status]]="Delivered","On Time","Pending"))</f>
        <v>Late</v>
      </c>
      <c r="T8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107.2</v>
      </c>
      <c r="U81" s="11">
        <f ca="1">IF(Shipments[[#This Row],[ETA]]&lt;&gt;"", Shipments[[#This Row],[ETA]]-TODAY(), "")</f>
        <v>-22</v>
      </c>
      <c r="V81" s="13">
        <f>_xlfn.XLOOKUP(Shipments[[#This Row],[Carrier]], CarrierRef[Carrier], CarrierRef[BaseOnTime], "N/A")</f>
        <v>0.94</v>
      </c>
      <c r="W81" s="7" t="str">
        <f>IF(Shipments[[#This Row],[Allocation Type]]="AppleCare", IF(ISNUMBER(SEARCH("AppleCare", Shipments[[#This Row],[Carrier]])), "Compliant", "Liability Risk"), "Compliant")</f>
        <v>Liability Risk</v>
      </c>
      <c r="X81" s="11">
        <f>ROUND(100 - ((Shipments[[#This Row],[CO₂ Estimate (kg)]]/500)*40) - (Shipments[[#This Row],[RiskScoreCalc]]/3), 0)</f>
        <v>18</v>
      </c>
    </row>
    <row r="82" spans="1:24" x14ac:dyDescent="0.3">
      <c r="A82" s="6" t="s">
        <v>198</v>
      </c>
      <c r="B82" s="6" t="s">
        <v>58</v>
      </c>
      <c r="C82" s="6" t="s">
        <v>20</v>
      </c>
      <c r="D82" s="8">
        <v>46092</v>
      </c>
      <c r="E82" s="8">
        <v>46094</v>
      </c>
      <c r="F82" s="8">
        <v>46101</v>
      </c>
      <c r="G82" s="7">
        <v>46093</v>
      </c>
      <c r="H82" s="7">
        <v>46098</v>
      </c>
      <c r="I82" s="7">
        <v>46103</v>
      </c>
      <c r="J82" s="6" t="s">
        <v>40</v>
      </c>
      <c r="K82" s="6" t="s">
        <v>199</v>
      </c>
      <c r="L82" s="6" t="s">
        <v>28</v>
      </c>
      <c r="M82" s="6">
        <v>12</v>
      </c>
      <c r="N82" s="6" t="s">
        <v>24</v>
      </c>
      <c r="O82" s="6"/>
      <c r="P82" s="10">
        <v>467</v>
      </c>
      <c r="Q82" s="11">
        <v>39</v>
      </c>
      <c r="R82" s="9">
        <v>46126.897222222222</v>
      </c>
      <c r="S82" s="7" t="str">
        <f>IF(Shipments[[#This Row],[ATA]]&lt;&gt;"", IF(Shipments[[#This Row],[ATA]]&lt;=Shipments[[#This Row],[ETA]],"On Time","Late"), IF(Shipments[[#This Row],[Status]]="Delivered","On Time","Pending"))</f>
        <v>Late</v>
      </c>
      <c r="T8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2" s="11">
        <f ca="1">IF(Shipments[[#This Row],[ETA]]&lt;&gt;"", Shipments[[#This Row],[ETA]]-TODAY(), "")</f>
        <v>-28</v>
      </c>
      <c r="V82" s="13">
        <f>_xlfn.XLOOKUP(Shipments[[#This Row],[Carrier]], CarrierRef[Carrier], CarrierRef[BaseOnTime], "N/A")</f>
        <v>0.93</v>
      </c>
      <c r="W82" s="7" t="str">
        <f>IF(Shipments[[#This Row],[Allocation Type]]="AppleCare", IF(ISNUMBER(SEARCH("AppleCare", Shipments[[#This Row],[Carrier]])), "Compliant", "Liability Risk"), "Compliant")</f>
        <v>Liability Risk</v>
      </c>
      <c r="X82" s="11">
        <f>ROUND(100 - ((Shipments[[#This Row],[CO₂ Estimate (kg)]]/500)*40) - (Shipments[[#This Row],[RiskScoreCalc]]/3), 0)</f>
        <v>29</v>
      </c>
    </row>
    <row r="83" spans="1:24" x14ac:dyDescent="0.3">
      <c r="A83" s="6" t="s">
        <v>200</v>
      </c>
      <c r="B83" s="6" t="s">
        <v>39</v>
      </c>
      <c r="C83" s="6" t="s">
        <v>126</v>
      </c>
      <c r="D83" s="8">
        <v>46109</v>
      </c>
      <c r="E83" s="8">
        <v>46113</v>
      </c>
      <c r="F83" s="8">
        <v>46125</v>
      </c>
      <c r="G83" s="7">
        <v>46112</v>
      </c>
      <c r="H83" s="7">
        <v>46118</v>
      </c>
      <c r="I83" s="6"/>
      <c r="J83" s="6" t="s">
        <v>40</v>
      </c>
      <c r="K83" s="6" t="s">
        <v>201</v>
      </c>
      <c r="L83" s="6" t="s">
        <v>28</v>
      </c>
      <c r="M83" s="6">
        <v>106</v>
      </c>
      <c r="N83" s="6" t="s">
        <v>24</v>
      </c>
      <c r="O83" s="6"/>
      <c r="P83" s="10">
        <v>297.5</v>
      </c>
      <c r="Q83" s="11">
        <v>35</v>
      </c>
      <c r="R83" s="9">
        <v>46127.605555555558</v>
      </c>
      <c r="S83" s="7" t="str">
        <f>IF(Shipments[[#This Row],[ATA]]&lt;&gt;"", IF(Shipments[[#This Row],[ATA]]&lt;=Shipments[[#This Row],[ETA]],"On Time","Late"), IF(Shipments[[#This Row],[Status]]="Delivered","On Time","Pending"))</f>
        <v>Pending</v>
      </c>
      <c r="T8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3" s="11">
        <f ca="1">IF(Shipments[[#This Row],[ETA]]&lt;&gt;"", Shipments[[#This Row],[ETA]]-TODAY(), "")</f>
        <v>-4</v>
      </c>
      <c r="V83" s="13">
        <f>_xlfn.XLOOKUP(Shipments[[#This Row],[Carrier]], CarrierRef[Carrier], CarrierRef[BaseOnTime], "N/A")</f>
        <v>0.93</v>
      </c>
      <c r="W83" s="7" t="str">
        <f>IF(Shipments[[#This Row],[Allocation Type]]="AppleCare", IF(ISNUMBER(SEARCH("AppleCare", Shipments[[#This Row],[Carrier]])), "Compliant", "Liability Risk"), "Compliant")</f>
        <v>Liability Risk</v>
      </c>
      <c r="X83" s="11">
        <f>ROUND(100 - ((Shipments[[#This Row],[CO₂ Estimate (kg)]]/500)*40) - (Shipments[[#This Row],[RiskScoreCalc]]/3), 0)</f>
        <v>43</v>
      </c>
    </row>
    <row r="84" spans="1:24" x14ac:dyDescent="0.3">
      <c r="A84" s="6" t="s">
        <v>202</v>
      </c>
      <c r="B84" s="6" t="s">
        <v>33</v>
      </c>
      <c r="C84" s="6" t="s">
        <v>20</v>
      </c>
      <c r="D84" s="8">
        <v>46112</v>
      </c>
      <c r="E84" s="8">
        <v>46114</v>
      </c>
      <c r="F84" s="8">
        <v>46123</v>
      </c>
      <c r="G84" s="7">
        <v>46112.833333333336</v>
      </c>
      <c r="H84" s="7">
        <v>46114.041666666664</v>
      </c>
      <c r="I84" s="7">
        <v>46124.708333333336</v>
      </c>
      <c r="J84" s="6" t="s">
        <v>50</v>
      </c>
      <c r="K84" s="6" t="s">
        <v>203</v>
      </c>
      <c r="L84" s="6" t="s">
        <v>23</v>
      </c>
      <c r="M84" s="6">
        <v>8</v>
      </c>
      <c r="N84" s="6" t="s">
        <v>24</v>
      </c>
      <c r="O84" s="6"/>
      <c r="P84" s="10">
        <v>595.79999999999995</v>
      </c>
      <c r="Q84" s="11">
        <v>44</v>
      </c>
      <c r="R84" s="9">
        <v>46128.813888888886</v>
      </c>
      <c r="S84" s="7" t="str">
        <f>IF(Shipments[[#This Row],[ATA]]&lt;&gt;"", IF(Shipments[[#This Row],[ATA]]&lt;=Shipments[[#This Row],[ETA]],"On Time","Late"), IF(Shipments[[#This Row],[Status]]="Delivered","On Time","Pending"))</f>
        <v>Late</v>
      </c>
      <c r="T8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4" s="11">
        <f ca="1">IF(Shipments[[#This Row],[ETA]]&lt;&gt;"", Shipments[[#This Row],[ETA]]-TODAY(), "")</f>
        <v>-6</v>
      </c>
      <c r="V84" s="13">
        <f>_xlfn.XLOOKUP(Shipments[[#This Row],[Carrier]], CarrierRef[Carrier], CarrierRef[BaseOnTime], "N/A")</f>
        <v>0.92</v>
      </c>
      <c r="W84" s="7" t="str">
        <f>IF(Shipments[[#This Row],[Allocation Type]]="AppleCare", IF(ISNUMBER(SEARCH("AppleCare", Shipments[[#This Row],[Carrier]])), "Compliant", "Liability Risk"), "Compliant")</f>
        <v>Compliant</v>
      </c>
      <c r="X84" s="11">
        <f>ROUND(100 - ((Shipments[[#This Row],[CO₂ Estimate (kg)]]/500)*40) - (Shipments[[#This Row],[RiskScoreCalc]]/3), 0)</f>
        <v>19</v>
      </c>
    </row>
    <row r="85" spans="1:24" x14ac:dyDescent="0.3">
      <c r="A85" s="6" t="s">
        <v>204</v>
      </c>
      <c r="B85" s="6" t="s">
        <v>33</v>
      </c>
      <c r="C85" s="6" t="s">
        <v>20</v>
      </c>
      <c r="D85" s="8">
        <v>46088</v>
      </c>
      <c r="E85" s="8">
        <v>46091</v>
      </c>
      <c r="F85" s="8">
        <v>46097</v>
      </c>
      <c r="G85" s="6"/>
      <c r="H85" s="7">
        <v>46093</v>
      </c>
      <c r="I85" s="7">
        <v>46100</v>
      </c>
      <c r="J85" s="6" t="s">
        <v>50</v>
      </c>
      <c r="K85" s="6" t="s">
        <v>205</v>
      </c>
      <c r="L85" s="6" t="s">
        <v>23</v>
      </c>
      <c r="M85" s="6">
        <v>72</v>
      </c>
      <c r="N85" s="6" t="s">
        <v>24</v>
      </c>
      <c r="O85" s="6"/>
      <c r="P85" s="10">
        <v>245.2</v>
      </c>
      <c r="Q85" s="11">
        <v>37</v>
      </c>
      <c r="R85" s="9">
        <v>46127.605555555558</v>
      </c>
      <c r="S85" s="7" t="str">
        <f>IF(Shipments[[#This Row],[ATA]]&lt;&gt;"", IF(Shipments[[#This Row],[ATA]]&lt;=Shipments[[#This Row],[ETA]],"On Time","Late"), IF(Shipments[[#This Row],[Status]]="Delivered","On Time","Pending"))</f>
        <v>Late</v>
      </c>
      <c r="T8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5" s="11">
        <f ca="1">IF(Shipments[[#This Row],[ETA]]&lt;&gt;"", Shipments[[#This Row],[ETA]]-TODAY(), "")</f>
        <v>-32</v>
      </c>
      <c r="V85" s="13">
        <f>_xlfn.XLOOKUP(Shipments[[#This Row],[Carrier]], CarrierRef[Carrier], CarrierRef[BaseOnTime], "N/A")</f>
        <v>0.92</v>
      </c>
      <c r="W85" s="7" t="str">
        <f>IF(Shipments[[#This Row],[Allocation Type]]="AppleCare", IF(ISNUMBER(SEARCH("AppleCare", Shipments[[#This Row],[Carrier]])), "Compliant", "Liability Risk"), "Compliant")</f>
        <v>Compliant</v>
      </c>
      <c r="X85" s="11">
        <f>ROUND(100 - ((Shipments[[#This Row],[CO₂ Estimate (kg)]]/500)*40) - (Shipments[[#This Row],[RiskScoreCalc]]/3), 0)</f>
        <v>47</v>
      </c>
    </row>
    <row r="86" spans="1:24" x14ac:dyDescent="0.3">
      <c r="A86" s="6" t="s">
        <v>206</v>
      </c>
      <c r="B86" s="6" t="s">
        <v>63</v>
      </c>
      <c r="C86" s="6" t="s">
        <v>20</v>
      </c>
      <c r="D86" s="8">
        <v>46091</v>
      </c>
      <c r="E86" s="8">
        <v>46094</v>
      </c>
      <c r="F86" s="8">
        <v>46102</v>
      </c>
      <c r="G86" s="7">
        <v>46090.625</v>
      </c>
      <c r="H86" s="7">
        <v>46094.291666666664</v>
      </c>
      <c r="I86" s="7">
        <v>46102.583333333336</v>
      </c>
      <c r="J86" s="6" t="s">
        <v>45</v>
      </c>
      <c r="K86" s="6" t="s">
        <v>207</v>
      </c>
      <c r="L86" s="6" t="s">
        <v>28</v>
      </c>
      <c r="M86" s="6">
        <v>111</v>
      </c>
      <c r="N86" s="6" t="s">
        <v>24</v>
      </c>
      <c r="O86" s="6"/>
      <c r="P86" s="10">
        <v>232.1</v>
      </c>
      <c r="Q86" s="11">
        <v>43</v>
      </c>
      <c r="R86" s="9">
        <v>46127.563888888886</v>
      </c>
      <c r="S86" s="7" t="str">
        <f>IF(Shipments[[#This Row],[ATA]]&lt;&gt;"", IF(Shipments[[#This Row],[ATA]]&lt;=Shipments[[#This Row],[ETA]],"On Time","Late"), IF(Shipments[[#This Row],[Status]]="Delivered","On Time","Pending"))</f>
        <v>Late</v>
      </c>
      <c r="T8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6" s="11">
        <f ca="1">IF(Shipments[[#This Row],[ETA]]&lt;&gt;"", Shipments[[#This Row],[ETA]]-TODAY(), "")</f>
        <v>-27</v>
      </c>
      <c r="V86" s="13">
        <f>_xlfn.XLOOKUP(Shipments[[#This Row],[Carrier]], CarrierRef[Carrier], CarrierRef[BaseOnTime], "N/A")</f>
        <v>0.87</v>
      </c>
      <c r="W86" s="7" t="str">
        <f>IF(Shipments[[#This Row],[Allocation Type]]="AppleCare", IF(ISNUMBER(SEARCH("AppleCare", Shipments[[#This Row],[Carrier]])), "Compliant", "Liability Risk"), "Compliant")</f>
        <v>Liability Risk</v>
      </c>
      <c r="X86" s="11">
        <f>ROUND(100 - ((Shipments[[#This Row],[CO₂ Estimate (kg)]]/500)*40) - (Shipments[[#This Row],[RiskScoreCalc]]/3), 0)</f>
        <v>48</v>
      </c>
    </row>
    <row r="87" spans="1:24" x14ac:dyDescent="0.3">
      <c r="A87" s="6" t="s">
        <v>208</v>
      </c>
      <c r="B87" s="6" t="s">
        <v>63</v>
      </c>
      <c r="C87" s="6" t="s">
        <v>20</v>
      </c>
      <c r="D87" s="8">
        <v>46088</v>
      </c>
      <c r="E87" s="8">
        <v>46091</v>
      </c>
      <c r="F87" s="8">
        <v>46099</v>
      </c>
      <c r="G87" s="7">
        <v>46087.958333333336</v>
      </c>
      <c r="H87" s="7">
        <v>46092.416666666664</v>
      </c>
      <c r="I87" s="7">
        <v>46100.25</v>
      </c>
      <c r="J87" s="6" t="s">
        <v>50</v>
      </c>
      <c r="K87" s="6" t="s">
        <v>209</v>
      </c>
      <c r="L87" s="6" t="s">
        <v>28</v>
      </c>
      <c r="M87" s="6">
        <v>44</v>
      </c>
      <c r="N87" s="6" t="s">
        <v>52</v>
      </c>
      <c r="O87" s="6" t="s">
        <v>53</v>
      </c>
      <c r="P87" s="10">
        <v>435.7</v>
      </c>
      <c r="Q87" s="11">
        <v>65</v>
      </c>
      <c r="R87" s="9">
        <v>46127.522222222222</v>
      </c>
      <c r="S87" s="7" t="str">
        <f>IF(Shipments[[#This Row],[ATA]]&lt;&gt;"", IF(Shipments[[#This Row],[ATA]]&lt;=Shipments[[#This Row],[ETA]],"On Time","Late"), IF(Shipments[[#This Row],[Status]]="Delivered","On Time","Pending"))</f>
        <v>Late</v>
      </c>
      <c r="T8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87" s="11">
        <f ca="1">IF(Shipments[[#This Row],[ETA]]&lt;&gt;"", Shipments[[#This Row],[ETA]]-TODAY(), "")</f>
        <v>-30</v>
      </c>
      <c r="V87" s="13">
        <f>_xlfn.XLOOKUP(Shipments[[#This Row],[Carrier]], CarrierRef[Carrier], CarrierRef[BaseOnTime], "N/A")</f>
        <v>0.92</v>
      </c>
      <c r="W87" s="7" t="str">
        <f>IF(Shipments[[#This Row],[Allocation Type]]="AppleCare", IF(ISNUMBER(SEARCH("AppleCare", Shipments[[#This Row],[Carrier]])), "Compliant", "Liability Risk"), "Compliant")</f>
        <v>Liability Risk</v>
      </c>
      <c r="X87" s="11">
        <f>ROUND(100 - ((Shipments[[#This Row],[CO₂ Estimate (kg)]]/500)*40) - (Shipments[[#This Row],[RiskScoreCalc]]/3), 0)</f>
        <v>20</v>
      </c>
    </row>
    <row r="88" spans="1:24" x14ac:dyDescent="0.3">
      <c r="A88" s="6" t="s">
        <v>210</v>
      </c>
      <c r="B88" s="6" t="s">
        <v>30</v>
      </c>
      <c r="C88" s="6" t="s">
        <v>20</v>
      </c>
      <c r="D88" s="8">
        <v>46099</v>
      </c>
      <c r="E88" s="8">
        <v>46100</v>
      </c>
      <c r="F88" s="8">
        <v>46110</v>
      </c>
      <c r="G88" s="7">
        <v>46098.75</v>
      </c>
      <c r="H88" s="6"/>
      <c r="I88" s="7">
        <v>46111.458333333336</v>
      </c>
      <c r="J88" s="6" t="s">
        <v>50</v>
      </c>
      <c r="K88" s="6" t="s">
        <v>211</v>
      </c>
      <c r="L88" s="6" t="s">
        <v>23</v>
      </c>
      <c r="M88" s="6">
        <v>-14</v>
      </c>
      <c r="N88" s="6" t="s">
        <v>52</v>
      </c>
      <c r="O88" s="6" t="s">
        <v>53</v>
      </c>
      <c r="P88" s="10">
        <v>339.1</v>
      </c>
      <c r="Q88" s="11">
        <v>68</v>
      </c>
      <c r="R88" s="9">
        <v>46128.397222222222</v>
      </c>
      <c r="S88" s="7" t="str">
        <f>IF(Shipments[[#This Row],[ATA]]&lt;&gt;"", IF(Shipments[[#This Row],[ATA]]&lt;=Shipments[[#This Row],[ETA]],"On Time","Late"), IF(Shipments[[#This Row],[Status]]="Delivered","On Time","Pending"))</f>
        <v>Late</v>
      </c>
      <c r="T8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146.19999999999999</v>
      </c>
      <c r="U88" s="11">
        <f ca="1">IF(Shipments[[#This Row],[ETA]]&lt;&gt;"", Shipments[[#This Row],[ETA]]-TODAY(), "")</f>
        <v>-19</v>
      </c>
      <c r="V88" s="13">
        <f>_xlfn.XLOOKUP(Shipments[[#This Row],[Carrier]], CarrierRef[Carrier], CarrierRef[BaseOnTime], "N/A")</f>
        <v>0.92</v>
      </c>
      <c r="W88" s="7" t="str">
        <f>IF(Shipments[[#This Row],[Allocation Type]]="AppleCare", IF(ISNUMBER(SEARCH("AppleCare", Shipments[[#This Row],[Carrier]])), "Compliant", "Liability Risk"), "Compliant")</f>
        <v>Compliant</v>
      </c>
      <c r="X88" s="11">
        <f>ROUND(100 - ((Shipments[[#This Row],[CO₂ Estimate (kg)]]/500)*40) - (Shipments[[#This Row],[RiskScoreCalc]]/3), 0)</f>
        <v>24</v>
      </c>
    </row>
    <row r="89" spans="1:24" x14ac:dyDescent="0.3">
      <c r="A89" s="6" t="s">
        <v>212</v>
      </c>
      <c r="B89" s="6" t="s">
        <v>63</v>
      </c>
      <c r="C89" s="6" t="s">
        <v>20</v>
      </c>
      <c r="D89" s="8">
        <v>46089</v>
      </c>
      <c r="E89" s="8">
        <v>46092</v>
      </c>
      <c r="F89" s="8">
        <v>46100</v>
      </c>
      <c r="G89" s="7">
        <v>46089</v>
      </c>
      <c r="H89" s="7">
        <v>46091.75</v>
      </c>
      <c r="I89" s="7">
        <v>46100.333333333336</v>
      </c>
      <c r="J89" s="6" t="s">
        <v>21</v>
      </c>
      <c r="K89" s="6" t="s">
        <v>213</v>
      </c>
      <c r="L89" s="6" t="s">
        <v>28</v>
      </c>
      <c r="M89" s="6">
        <v>83</v>
      </c>
      <c r="N89" s="6" t="s">
        <v>24</v>
      </c>
      <c r="O89" s="6"/>
      <c r="P89" s="10">
        <v>563.20000000000005</v>
      </c>
      <c r="Q89" s="11">
        <v>30</v>
      </c>
      <c r="R89" s="9">
        <v>46128.188888888886</v>
      </c>
      <c r="S89" s="7" t="str">
        <f>IF(Shipments[[#This Row],[ATA]]&lt;&gt;"", IF(Shipments[[#This Row],[ATA]]&lt;=Shipments[[#This Row],[ETA]],"On Time","Late"), IF(Shipments[[#This Row],[Status]]="Delivered","On Time","Pending"))</f>
        <v>Late</v>
      </c>
      <c r="T8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89" s="11">
        <f ca="1">IF(Shipments[[#This Row],[ETA]]&lt;&gt;"", Shipments[[#This Row],[ETA]]-TODAY(), "")</f>
        <v>-29</v>
      </c>
      <c r="V89" s="13">
        <f>_xlfn.XLOOKUP(Shipments[[#This Row],[Carrier]], CarrierRef[Carrier], CarrierRef[BaseOnTime], "N/A")</f>
        <v>0.94</v>
      </c>
      <c r="W89" s="7" t="str">
        <f>IF(Shipments[[#This Row],[Allocation Type]]="AppleCare", IF(ISNUMBER(SEARCH("AppleCare", Shipments[[#This Row],[Carrier]])), "Compliant", "Liability Risk"), "Compliant")</f>
        <v>Liability Risk</v>
      </c>
      <c r="X89" s="11">
        <f>ROUND(100 - ((Shipments[[#This Row],[CO₂ Estimate (kg)]]/500)*40) - (Shipments[[#This Row],[RiskScoreCalc]]/3), 0)</f>
        <v>22</v>
      </c>
    </row>
    <row r="90" spans="1:24" x14ac:dyDescent="0.3">
      <c r="A90" s="6" t="s">
        <v>214</v>
      </c>
      <c r="B90" s="6" t="s">
        <v>33</v>
      </c>
      <c r="C90" s="6" t="s">
        <v>20</v>
      </c>
      <c r="D90" s="8">
        <v>46096</v>
      </c>
      <c r="E90" s="8">
        <v>46097</v>
      </c>
      <c r="F90" s="8">
        <v>46107</v>
      </c>
      <c r="G90" s="7">
        <v>46096.541666666664</v>
      </c>
      <c r="H90" s="7">
        <v>46097.833333333336</v>
      </c>
      <c r="I90" s="7">
        <v>46108.875</v>
      </c>
      <c r="J90" s="6" t="s">
        <v>26</v>
      </c>
      <c r="K90" s="6" t="s">
        <v>215</v>
      </c>
      <c r="L90" s="6" t="s">
        <v>28</v>
      </c>
      <c r="M90" s="6">
        <v>38</v>
      </c>
      <c r="N90" s="6" t="s">
        <v>24</v>
      </c>
      <c r="O90" s="6"/>
      <c r="P90" s="10">
        <v>413.2</v>
      </c>
      <c r="Q90" s="11">
        <v>30</v>
      </c>
      <c r="R90" s="9">
        <v>46127.897222222222</v>
      </c>
      <c r="S90" s="7" t="str">
        <f>IF(Shipments[[#This Row],[ATA]]&lt;&gt;"", IF(Shipments[[#This Row],[ATA]]&lt;=Shipments[[#This Row],[ETA]],"On Time","Late"), IF(Shipments[[#This Row],[Status]]="Delivered","On Time","Pending"))</f>
        <v>Late</v>
      </c>
      <c r="T9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0" s="11">
        <f ca="1">IF(Shipments[[#This Row],[ETA]]&lt;&gt;"", Shipments[[#This Row],[ETA]]-TODAY(), "")</f>
        <v>-22</v>
      </c>
      <c r="V90" s="13">
        <f>_xlfn.XLOOKUP(Shipments[[#This Row],[Carrier]], CarrierRef[Carrier], CarrierRef[BaseOnTime], "N/A")</f>
        <v>0.91</v>
      </c>
      <c r="W90" s="7" t="str">
        <f>IF(Shipments[[#This Row],[Allocation Type]]="AppleCare", IF(ISNUMBER(SEARCH("AppleCare", Shipments[[#This Row],[Carrier]])), "Compliant", "Liability Risk"), "Compliant")</f>
        <v>Liability Risk</v>
      </c>
      <c r="X90" s="11">
        <f>ROUND(100 - ((Shipments[[#This Row],[CO₂ Estimate (kg)]]/500)*40) - (Shipments[[#This Row],[RiskScoreCalc]]/3), 0)</f>
        <v>34</v>
      </c>
    </row>
    <row r="91" spans="1:24" x14ac:dyDescent="0.3">
      <c r="A91" s="6" t="s">
        <v>216</v>
      </c>
      <c r="B91" s="6" t="s">
        <v>33</v>
      </c>
      <c r="C91" s="6" t="s">
        <v>20</v>
      </c>
      <c r="D91" s="8">
        <v>46105</v>
      </c>
      <c r="E91" s="8">
        <v>46108</v>
      </c>
      <c r="F91" s="8">
        <v>46118</v>
      </c>
      <c r="G91" s="7">
        <v>46105.333333333336</v>
      </c>
      <c r="H91" s="7">
        <v>46109.416666666664</v>
      </c>
      <c r="I91" s="7">
        <v>46118.25</v>
      </c>
      <c r="J91" s="6" t="s">
        <v>34</v>
      </c>
      <c r="K91" s="6" t="s">
        <v>217</v>
      </c>
      <c r="L91" s="6" t="s">
        <v>23</v>
      </c>
      <c r="M91" s="6">
        <v>106</v>
      </c>
      <c r="N91" s="6" t="s">
        <v>24</v>
      </c>
      <c r="O91" s="6"/>
      <c r="P91" s="10">
        <v>258.3</v>
      </c>
      <c r="Q91" s="11">
        <v>29</v>
      </c>
      <c r="R91" s="9">
        <v>46127.938888888886</v>
      </c>
      <c r="S91" s="7" t="str">
        <f>IF(Shipments[[#This Row],[ATA]]&lt;&gt;"", IF(Shipments[[#This Row],[ATA]]&lt;=Shipments[[#This Row],[ETA]],"On Time","Late"), IF(Shipments[[#This Row],[Status]]="Delivered","On Time","Pending"))</f>
        <v>Late</v>
      </c>
      <c r="T9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1" s="11">
        <f ca="1">IF(Shipments[[#This Row],[ETA]]&lt;&gt;"", Shipments[[#This Row],[ETA]]-TODAY(), "")</f>
        <v>-11</v>
      </c>
      <c r="V91" s="13">
        <f>_xlfn.XLOOKUP(Shipments[[#This Row],[Carrier]], CarrierRef[Carrier], CarrierRef[BaseOnTime], "N/A")</f>
        <v>0.89</v>
      </c>
      <c r="W91" s="7" t="str">
        <f>IF(Shipments[[#This Row],[Allocation Type]]="AppleCare", IF(ISNUMBER(SEARCH("AppleCare", Shipments[[#This Row],[Carrier]])), "Compliant", "Liability Risk"), "Compliant")</f>
        <v>Compliant</v>
      </c>
      <c r="X91" s="11">
        <f>ROUND(100 - ((Shipments[[#This Row],[CO₂ Estimate (kg)]]/500)*40) - (Shipments[[#This Row],[RiskScoreCalc]]/3), 0)</f>
        <v>46</v>
      </c>
    </row>
    <row r="92" spans="1:24" x14ac:dyDescent="0.3">
      <c r="A92" s="6" t="s">
        <v>218</v>
      </c>
      <c r="B92" s="6" t="s">
        <v>33</v>
      </c>
      <c r="C92" s="6" t="s">
        <v>20</v>
      </c>
      <c r="D92" s="8">
        <v>46099</v>
      </c>
      <c r="E92" s="8">
        <v>46101</v>
      </c>
      <c r="F92" s="8">
        <v>46106</v>
      </c>
      <c r="G92" s="7">
        <v>46099.666666666664</v>
      </c>
      <c r="H92" s="7">
        <v>46100.75</v>
      </c>
      <c r="I92" s="7">
        <v>46105.833333333336</v>
      </c>
      <c r="J92" s="6" t="s">
        <v>21</v>
      </c>
      <c r="K92" s="6" t="s">
        <v>219</v>
      </c>
      <c r="L92" s="6" t="s">
        <v>28</v>
      </c>
      <c r="M92" s="6">
        <v>117</v>
      </c>
      <c r="N92" s="6" t="s">
        <v>24</v>
      </c>
      <c r="O92" s="6"/>
      <c r="P92" s="10">
        <v>359.9</v>
      </c>
      <c r="Q92" s="11">
        <v>33</v>
      </c>
      <c r="R92" s="9">
        <v>46128.772222222222</v>
      </c>
      <c r="S92" s="7" t="str">
        <f>IF(Shipments[[#This Row],[ATA]]&lt;&gt;"", IF(Shipments[[#This Row],[ATA]]&lt;=Shipments[[#This Row],[ETA]],"On Time","Late"), IF(Shipments[[#This Row],[Status]]="Delivered","On Time","Pending"))</f>
        <v>On Time</v>
      </c>
      <c r="T9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2" s="11">
        <f ca="1">IF(Shipments[[#This Row],[ETA]]&lt;&gt;"", Shipments[[#This Row],[ETA]]-TODAY(), "")</f>
        <v>-23</v>
      </c>
      <c r="V92" s="13">
        <f>_xlfn.XLOOKUP(Shipments[[#This Row],[Carrier]], CarrierRef[Carrier], CarrierRef[BaseOnTime], "N/A")</f>
        <v>0.94</v>
      </c>
      <c r="W92" s="7" t="str">
        <f>IF(Shipments[[#This Row],[Allocation Type]]="AppleCare", IF(ISNUMBER(SEARCH("AppleCare", Shipments[[#This Row],[Carrier]])), "Compliant", "Liability Risk"), "Compliant")</f>
        <v>Liability Risk</v>
      </c>
      <c r="X92" s="11">
        <f>ROUND(100 - ((Shipments[[#This Row],[CO₂ Estimate (kg)]]/500)*40) - (Shipments[[#This Row],[RiskScoreCalc]]/3), 0)</f>
        <v>38</v>
      </c>
    </row>
    <row r="93" spans="1:24" x14ac:dyDescent="0.3">
      <c r="A93" s="6" t="s">
        <v>220</v>
      </c>
      <c r="B93" s="6" t="s">
        <v>58</v>
      </c>
      <c r="C93" s="6" t="s">
        <v>20</v>
      </c>
      <c r="D93" s="8">
        <v>46100</v>
      </c>
      <c r="E93" s="8">
        <v>46103</v>
      </c>
      <c r="F93" s="8">
        <v>46112</v>
      </c>
      <c r="G93" s="7">
        <v>46099.791666666664</v>
      </c>
      <c r="H93" s="7">
        <v>46102.708333333336</v>
      </c>
      <c r="I93" s="7">
        <v>46113.458333333336</v>
      </c>
      <c r="J93" s="6" t="s">
        <v>40</v>
      </c>
      <c r="K93" s="6" t="s">
        <v>221</v>
      </c>
      <c r="L93" s="6" t="s">
        <v>28</v>
      </c>
      <c r="M93" s="6">
        <v>84</v>
      </c>
      <c r="N93" s="6" t="s">
        <v>24</v>
      </c>
      <c r="O93" s="6"/>
      <c r="P93" s="10">
        <v>444</v>
      </c>
      <c r="Q93" s="11">
        <v>23</v>
      </c>
      <c r="R93" s="9">
        <v>46128.188888888886</v>
      </c>
      <c r="S93" s="7" t="str">
        <f>IF(Shipments[[#This Row],[ATA]]&lt;&gt;"", IF(Shipments[[#This Row],[ATA]]&lt;=Shipments[[#This Row],[ETA]],"On Time","Late"), IF(Shipments[[#This Row],[Status]]="Delivered","On Time","Pending"))</f>
        <v>Late</v>
      </c>
      <c r="T9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3" s="11">
        <f ca="1">IF(Shipments[[#This Row],[ETA]]&lt;&gt;"", Shipments[[#This Row],[ETA]]-TODAY(), "")</f>
        <v>-17</v>
      </c>
      <c r="V93" s="13">
        <f>_xlfn.XLOOKUP(Shipments[[#This Row],[Carrier]], CarrierRef[Carrier], CarrierRef[BaseOnTime], "N/A")</f>
        <v>0.93</v>
      </c>
      <c r="W93" s="7" t="str">
        <f>IF(Shipments[[#This Row],[Allocation Type]]="AppleCare", IF(ISNUMBER(SEARCH("AppleCare", Shipments[[#This Row],[Carrier]])), "Compliant", "Liability Risk"), "Compliant")</f>
        <v>Liability Risk</v>
      </c>
      <c r="X93" s="11">
        <f>ROUND(100 - ((Shipments[[#This Row],[CO₂ Estimate (kg)]]/500)*40) - (Shipments[[#This Row],[RiskScoreCalc]]/3), 0)</f>
        <v>31</v>
      </c>
    </row>
    <row r="94" spans="1:24" x14ac:dyDescent="0.3">
      <c r="A94" s="6" t="s">
        <v>222</v>
      </c>
      <c r="B94" s="6" t="s">
        <v>39</v>
      </c>
      <c r="C94" s="6" t="s">
        <v>20</v>
      </c>
      <c r="D94" s="8">
        <v>46092</v>
      </c>
      <c r="E94" s="8">
        <v>46093</v>
      </c>
      <c r="F94" s="8">
        <v>46105</v>
      </c>
      <c r="G94" s="7">
        <v>46092.666666666664</v>
      </c>
      <c r="H94" s="7">
        <v>46092.875</v>
      </c>
      <c r="I94" s="7">
        <v>46106.625</v>
      </c>
      <c r="J94" s="6" t="s">
        <v>40</v>
      </c>
      <c r="K94" s="6" t="s">
        <v>223</v>
      </c>
      <c r="L94" s="6" t="s">
        <v>23</v>
      </c>
      <c r="M94" s="6">
        <v>33</v>
      </c>
      <c r="N94" s="6" t="s">
        <v>24</v>
      </c>
      <c r="O94" s="6"/>
      <c r="P94" s="10">
        <v>513.5</v>
      </c>
      <c r="Q94" s="11">
        <v>32</v>
      </c>
      <c r="R94" s="9">
        <v>46127.438888888886</v>
      </c>
      <c r="S94" s="7" t="str">
        <f>IF(Shipments[[#This Row],[ATA]]&lt;&gt;"", IF(Shipments[[#This Row],[ATA]]&lt;=Shipments[[#This Row],[ETA]],"On Time","Late"), IF(Shipments[[#This Row],[Status]]="Delivered","On Time","Pending"))</f>
        <v>Late</v>
      </c>
      <c r="T9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4" s="11">
        <f ca="1">IF(Shipments[[#This Row],[ETA]]&lt;&gt;"", Shipments[[#This Row],[ETA]]-TODAY(), "")</f>
        <v>-24</v>
      </c>
      <c r="V94" s="13">
        <f>_xlfn.XLOOKUP(Shipments[[#This Row],[Carrier]], CarrierRef[Carrier], CarrierRef[BaseOnTime], "N/A")</f>
        <v>0.93</v>
      </c>
      <c r="W94" s="7" t="str">
        <f>IF(Shipments[[#This Row],[Allocation Type]]="AppleCare", IF(ISNUMBER(SEARCH("AppleCare", Shipments[[#This Row],[Carrier]])), "Compliant", "Liability Risk"), "Compliant")</f>
        <v>Compliant</v>
      </c>
      <c r="X94" s="11">
        <f>ROUND(100 - ((Shipments[[#This Row],[CO₂ Estimate (kg)]]/500)*40) - (Shipments[[#This Row],[RiskScoreCalc]]/3), 0)</f>
        <v>26</v>
      </c>
    </row>
    <row r="95" spans="1:24" x14ac:dyDescent="0.3">
      <c r="A95" s="6" t="s">
        <v>224</v>
      </c>
      <c r="B95" s="6" t="s">
        <v>19</v>
      </c>
      <c r="C95" s="6" t="s">
        <v>20</v>
      </c>
      <c r="D95" s="8">
        <v>46113</v>
      </c>
      <c r="E95" s="8">
        <v>46116</v>
      </c>
      <c r="F95" s="8">
        <v>46124</v>
      </c>
      <c r="G95" s="6"/>
      <c r="H95" s="7">
        <v>46116</v>
      </c>
      <c r="I95" s="7">
        <v>46124.125</v>
      </c>
      <c r="J95" s="6" t="s">
        <v>26</v>
      </c>
      <c r="K95" s="6" t="s">
        <v>225</v>
      </c>
      <c r="L95" s="6" t="s">
        <v>23</v>
      </c>
      <c r="M95" s="6">
        <v>-42</v>
      </c>
      <c r="N95" s="6" t="s">
        <v>24</v>
      </c>
      <c r="O95" s="6"/>
      <c r="P95" s="10">
        <v>449</v>
      </c>
      <c r="Q95" s="11">
        <v>54</v>
      </c>
      <c r="R95" s="9">
        <v>46127.397222222222</v>
      </c>
      <c r="S95" s="7" t="str">
        <f>IF(Shipments[[#This Row],[ATA]]&lt;&gt;"", IF(Shipments[[#This Row],[ATA]]&lt;=Shipments[[#This Row],[ETA]],"On Time","Late"), IF(Shipments[[#This Row],[Status]]="Delivered","On Time","Pending"))</f>
        <v>Late</v>
      </c>
      <c r="T9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133.6</v>
      </c>
      <c r="U95" s="11">
        <f ca="1">IF(Shipments[[#This Row],[ETA]]&lt;&gt;"", Shipments[[#This Row],[ETA]]-TODAY(), "")</f>
        <v>-5</v>
      </c>
      <c r="V95" s="13">
        <f>_xlfn.XLOOKUP(Shipments[[#This Row],[Carrier]], CarrierRef[Carrier], CarrierRef[BaseOnTime], "N/A")</f>
        <v>0.91</v>
      </c>
      <c r="W95" s="7" t="str">
        <f>IF(Shipments[[#This Row],[Allocation Type]]="AppleCare", IF(ISNUMBER(SEARCH("AppleCare", Shipments[[#This Row],[Carrier]])), "Compliant", "Liability Risk"), "Compliant")</f>
        <v>Compliant</v>
      </c>
      <c r="X95" s="11">
        <f>ROUND(100 - ((Shipments[[#This Row],[CO₂ Estimate (kg)]]/500)*40) - (Shipments[[#This Row],[RiskScoreCalc]]/3), 0)</f>
        <v>20</v>
      </c>
    </row>
    <row r="96" spans="1:24" x14ac:dyDescent="0.3">
      <c r="A96" s="6" t="s">
        <v>226</v>
      </c>
      <c r="B96" s="6" t="s">
        <v>19</v>
      </c>
      <c r="C96" s="6" t="s">
        <v>20</v>
      </c>
      <c r="D96" s="8">
        <v>46104</v>
      </c>
      <c r="E96" s="8">
        <v>46108</v>
      </c>
      <c r="F96" s="8">
        <v>46119</v>
      </c>
      <c r="G96" s="7">
        <v>46104</v>
      </c>
      <c r="H96" s="7">
        <v>46110</v>
      </c>
      <c r="I96" s="7">
        <v>46123</v>
      </c>
      <c r="J96" s="6" t="s">
        <v>26</v>
      </c>
      <c r="K96" s="6" t="s">
        <v>227</v>
      </c>
      <c r="L96" s="6" t="s">
        <v>28</v>
      </c>
      <c r="M96" s="6">
        <v>67</v>
      </c>
      <c r="N96" s="6" t="s">
        <v>24</v>
      </c>
      <c r="O96" s="6"/>
      <c r="P96" s="10">
        <v>423.2</v>
      </c>
      <c r="Q96" s="11">
        <v>19</v>
      </c>
      <c r="R96" s="9">
        <v>46127.397222222222</v>
      </c>
      <c r="S96" s="7" t="str">
        <f>IF(Shipments[[#This Row],[ATA]]&lt;&gt;"", IF(Shipments[[#This Row],[ATA]]&lt;=Shipments[[#This Row],[ETA]],"On Time","Late"), IF(Shipments[[#This Row],[Status]]="Delivered","On Time","Pending"))</f>
        <v>Late</v>
      </c>
      <c r="T9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6" s="11">
        <f ca="1">IF(Shipments[[#This Row],[ETA]]&lt;&gt;"", Shipments[[#This Row],[ETA]]-TODAY(), "")</f>
        <v>-10</v>
      </c>
      <c r="V96" s="13">
        <f>_xlfn.XLOOKUP(Shipments[[#This Row],[Carrier]], CarrierRef[Carrier], CarrierRef[BaseOnTime], "N/A")</f>
        <v>0.91</v>
      </c>
      <c r="W96" s="7" t="str">
        <f>IF(Shipments[[#This Row],[Allocation Type]]="AppleCare", IF(ISNUMBER(SEARCH("AppleCare", Shipments[[#This Row],[Carrier]])), "Compliant", "Liability Risk"), "Compliant")</f>
        <v>Liability Risk</v>
      </c>
      <c r="X96" s="11">
        <f>ROUND(100 - ((Shipments[[#This Row],[CO₂ Estimate (kg)]]/500)*40) - (Shipments[[#This Row],[RiskScoreCalc]]/3), 0)</f>
        <v>33</v>
      </c>
    </row>
    <row r="97" spans="1:24" x14ac:dyDescent="0.3">
      <c r="A97" s="6" t="s">
        <v>228</v>
      </c>
      <c r="B97" s="6" t="s">
        <v>33</v>
      </c>
      <c r="C97" s="6" t="s">
        <v>20</v>
      </c>
      <c r="D97" s="8">
        <v>46097</v>
      </c>
      <c r="E97" s="8">
        <v>46099</v>
      </c>
      <c r="F97" s="8">
        <v>46106</v>
      </c>
      <c r="G97" s="7">
        <v>46097.083333333336</v>
      </c>
      <c r="H97" s="7">
        <v>46099.583333333336</v>
      </c>
      <c r="I97" s="7">
        <v>46108</v>
      </c>
      <c r="J97" s="6" t="s">
        <v>21</v>
      </c>
      <c r="K97" s="6" t="s">
        <v>229</v>
      </c>
      <c r="L97" s="6" t="s">
        <v>23</v>
      </c>
      <c r="M97" s="6">
        <v>24</v>
      </c>
      <c r="N97" s="6" t="s">
        <v>24</v>
      </c>
      <c r="O97" s="6"/>
      <c r="P97" s="10">
        <v>297.8</v>
      </c>
      <c r="Q97" s="11">
        <v>35</v>
      </c>
      <c r="R97" s="9">
        <v>46127.397222222222</v>
      </c>
      <c r="S97" s="7" t="str">
        <f>IF(Shipments[[#This Row],[ATA]]&lt;&gt;"", IF(Shipments[[#This Row],[ATA]]&lt;=Shipments[[#This Row],[ETA]],"On Time","Late"), IF(Shipments[[#This Row],[Status]]="Delivered","On Time","Pending"))</f>
        <v>Late</v>
      </c>
      <c r="T9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97" s="11">
        <f ca="1">IF(Shipments[[#This Row],[ETA]]&lt;&gt;"", Shipments[[#This Row],[ETA]]-TODAY(), "")</f>
        <v>-23</v>
      </c>
      <c r="V97" s="13">
        <f>_xlfn.XLOOKUP(Shipments[[#This Row],[Carrier]], CarrierRef[Carrier], CarrierRef[BaseOnTime], "N/A")</f>
        <v>0.94</v>
      </c>
      <c r="W97" s="7" t="str">
        <f>IF(Shipments[[#This Row],[Allocation Type]]="AppleCare", IF(ISNUMBER(SEARCH("AppleCare", Shipments[[#This Row],[Carrier]])), "Compliant", "Liability Risk"), "Compliant")</f>
        <v>Compliant</v>
      </c>
      <c r="X97" s="11">
        <f>ROUND(100 - ((Shipments[[#This Row],[CO₂ Estimate (kg)]]/500)*40) - (Shipments[[#This Row],[RiskScoreCalc]]/3), 0)</f>
        <v>43</v>
      </c>
    </row>
    <row r="98" spans="1:24" x14ac:dyDescent="0.3">
      <c r="A98" s="6" t="s">
        <v>230</v>
      </c>
      <c r="B98" s="6" t="s">
        <v>58</v>
      </c>
      <c r="C98" s="6" t="s">
        <v>20</v>
      </c>
      <c r="D98" s="8">
        <v>46106</v>
      </c>
      <c r="E98" s="8">
        <v>46108</v>
      </c>
      <c r="F98" s="8">
        <v>46115</v>
      </c>
      <c r="G98" s="7">
        <v>46108</v>
      </c>
      <c r="H98" s="7">
        <v>46113</v>
      </c>
      <c r="I98" s="7">
        <v>46117</v>
      </c>
      <c r="J98" s="6" t="s">
        <v>26</v>
      </c>
      <c r="K98" s="6" t="s">
        <v>231</v>
      </c>
      <c r="L98" s="6" t="s">
        <v>23</v>
      </c>
      <c r="M98" s="6">
        <v>-41</v>
      </c>
      <c r="N98" s="6" t="s">
        <v>24</v>
      </c>
      <c r="O98" s="6"/>
      <c r="P98" s="10">
        <v>625.79999999999995</v>
      </c>
      <c r="Q98" s="11">
        <v>63</v>
      </c>
      <c r="R98" s="9">
        <v>46127.355555555558</v>
      </c>
      <c r="S98" s="7" t="str">
        <f>IF(Shipments[[#This Row],[ATA]]&lt;&gt;"", IF(Shipments[[#This Row],[ATA]]&lt;=Shipments[[#This Row],[ETA]],"On Time","Late"), IF(Shipments[[#This Row],[Status]]="Delivered","On Time","Pending"))</f>
        <v>Late</v>
      </c>
      <c r="T9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132.80000000000001</v>
      </c>
      <c r="U98" s="11">
        <f ca="1">IF(Shipments[[#This Row],[ETA]]&lt;&gt;"", Shipments[[#This Row],[ETA]]-TODAY(), "")</f>
        <v>-14</v>
      </c>
      <c r="V98" s="13">
        <f>_xlfn.XLOOKUP(Shipments[[#This Row],[Carrier]], CarrierRef[Carrier], CarrierRef[BaseOnTime], "N/A")</f>
        <v>0.91</v>
      </c>
      <c r="W98" s="7" t="str">
        <f>IF(Shipments[[#This Row],[Allocation Type]]="AppleCare", IF(ISNUMBER(SEARCH("AppleCare", Shipments[[#This Row],[Carrier]])), "Compliant", "Liability Risk"), "Compliant")</f>
        <v>Compliant</v>
      </c>
      <c r="X98" s="11">
        <f>ROUND(100 - ((Shipments[[#This Row],[CO₂ Estimate (kg)]]/500)*40) - (Shipments[[#This Row],[RiskScoreCalc]]/3), 0)</f>
        <v>6</v>
      </c>
    </row>
    <row r="99" spans="1:24" x14ac:dyDescent="0.3">
      <c r="A99" s="6" t="s">
        <v>232</v>
      </c>
      <c r="B99" s="6" t="s">
        <v>19</v>
      </c>
      <c r="C99" s="6" t="s">
        <v>20</v>
      </c>
      <c r="D99" s="8">
        <v>46116</v>
      </c>
      <c r="E99" s="8">
        <v>46119</v>
      </c>
      <c r="F99" s="8">
        <v>46128</v>
      </c>
      <c r="G99" s="7">
        <v>46116.541666666664</v>
      </c>
      <c r="H99" s="7">
        <v>46119.458333333336</v>
      </c>
      <c r="I99" s="7">
        <v>46128.708333333336</v>
      </c>
      <c r="J99" s="6" t="s">
        <v>21</v>
      </c>
      <c r="K99" s="6" t="s">
        <v>233</v>
      </c>
      <c r="L99" s="6" t="s">
        <v>28</v>
      </c>
      <c r="M99" s="6">
        <v>-33</v>
      </c>
      <c r="N99" s="6" t="s">
        <v>24</v>
      </c>
      <c r="O99" s="6"/>
      <c r="P99" s="10">
        <v>375.3</v>
      </c>
      <c r="Q99" s="11">
        <v>48</v>
      </c>
      <c r="R99" s="9">
        <v>46128.313888888886</v>
      </c>
      <c r="S99" s="7" t="str">
        <f>IF(Shipments[[#This Row],[ATA]]&lt;&gt;"", IF(Shipments[[#This Row],[ATA]]&lt;=Shipments[[#This Row],[ETA]],"On Time","Late"), IF(Shipments[[#This Row],[Status]]="Delivered","On Time","Pending"))</f>
        <v>Late</v>
      </c>
      <c r="T9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126.4</v>
      </c>
      <c r="U99" s="11">
        <f ca="1">IF(Shipments[[#This Row],[ETA]]&lt;&gt;"", Shipments[[#This Row],[ETA]]-TODAY(), "")</f>
        <v>-1</v>
      </c>
      <c r="V99" s="13">
        <f>_xlfn.XLOOKUP(Shipments[[#This Row],[Carrier]], CarrierRef[Carrier], CarrierRef[BaseOnTime], "N/A")</f>
        <v>0.94</v>
      </c>
      <c r="W99" s="7" t="str">
        <f>IF(Shipments[[#This Row],[Allocation Type]]="AppleCare", IF(ISNUMBER(SEARCH("AppleCare", Shipments[[#This Row],[Carrier]])), "Compliant", "Liability Risk"), "Compliant")</f>
        <v>Liability Risk</v>
      </c>
      <c r="X99" s="11">
        <f>ROUND(100 - ((Shipments[[#This Row],[CO₂ Estimate (kg)]]/500)*40) - (Shipments[[#This Row],[RiskScoreCalc]]/3), 0)</f>
        <v>28</v>
      </c>
    </row>
    <row r="100" spans="1:24" x14ac:dyDescent="0.3">
      <c r="A100" s="6" t="s">
        <v>234</v>
      </c>
      <c r="B100" s="6" t="s">
        <v>19</v>
      </c>
      <c r="C100" s="6" t="s">
        <v>20</v>
      </c>
      <c r="D100" s="8">
        <v>46092</v>
      </c>
      <c r="E100" s="8">
        <v>46095</v>
      </c>
      <c r="F100" s="8">
        <v>46101</v>
      </c>
      <c r="G100" s="7">
        <v>46092.708333333336</v>
      </c>
      <c r="H100" s="7">
        <v>46094.958333333336</v>
      </c>
      <c r="I100" s="7">
        <v>46101.208333333336</v>
      </c>
      <c r="J100" s="6" t="s">
        <v>50</v>
      </c>
      <c r="K100" s="6" t="s">
        <v>235</v>
      </c>
      <c r="L100" s="6" t="s">
        <v>28</v>
      </c>
      <c r="M100" s="6">
        <v>-12</v>
      </c>
      <c r="N100" s="6" t="s">
        <v>24</v>
      </c>
      <c r="O100" s="6"/>
      <c r="P100" s="10">
        <v>316.39999999999998</v>
      </c>
      <c r="Q100" s="11">
        <v>34</v>
      </c>
      <c r="R100" s="9">
        <v>46127.230555555558</v>
      </c>
      <c r="S100" s="7" t="str">
        <f>IF(Shipments[[#This Row],[ATA]]&lt;&gt;"", IF(Shipments[[#This Row],[ATA]]&lt;=Shipments[[#This Row],[ETA]],"On Time","Late"), IF(Shipments[[#This Row],[Status]]="Delivered","On Time","Pending"))</f>
        <v>Late</v>
      </c>
      <c r="T10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109.6</v>
      </c>
      <c r="U100" s="11">
        <f ca="1">IF(Shipments[[#This Row],[ETA]]&lt;&gt;"", Shipments[[#This Row],[ETA]]-TODAY(), "")</f>
        <v>-28</v>
      </c>
      <c r="V100" s="13">
        <f>_xlfn.XLOOKUP(Shipments[[#This Row],[Carrier]], CarrierRef[Carrier], CarrierRef[BaseOnTime], "N/A")</f>
        <v>0.92</v>
      </c>
      <c r="W100" s="7" t="str">
        <f>IF(Shipments[[#This Row],[Allocation Type]]="AppleCare", IF(ISNUMBER(SEARCH("AppleCare", Shipments[[#This Row],[Carrier]])), "Compliant", "Liability Risk"), "Compliant")</f>
        <v>Liability Risk</v>
      </c>
      <c r="X100" s="11">
        <f>ROUND(100 - ((Shipments[[#This Row],[CO₂ Estimate (kg)]]/500)*40) - (Shipments[[#This Row],[RiskScoreCalc]]/3), 0)</f>
        <v>38</v>
      </c>
    </row>
    <row r="101" spans="1:24" x14ac:dyDescent="0.3">
      <c r="A101" s="6" t="s">
        <v>236</v>
      </c>
      <c r="B101" s="6" t="s">
        <v>30</v>
      </c>
      <c r="C101" s="6" t="s">
        <v>20</v>
      </c>
      <c r="D101" s="8">
        <v>46103</v>
      </c>
      <c r="E101" s="8">
        <v>46107</v>
      </c>
      <c r="F101" s="8">
        <v>46119</v>
      </c>
      <c r="G101" s="7">
        <v>46106</v>
      </c>
      <c r="H101" s="7">
        <v>46108</v>
      </c>
      <c r="I101" s="7">
        <v>46121</v>
      </c>
      <c r="J101" s="6" t="s">
        <v>40</v>
      </c>
      <c r="K101" s="6" t="s">
        <v>237</v>
      </c>
      <c r="L101" s="6" t="s">
        <v>23</v>
      </c>
      <c r="M101" s="6">
        <v>81</v>
      </c>
      <c r="N101" s="6" t="s">
        <v>24</v>
      </c>
      <c r="O101" s="6"/>
      <c r="P101" s="10">
        <v>293.10000000000002</v>
      </c>
      <c r="Q101" s="11">
        <v>33</v>
      </c>
      <c r="R101" s="9">
        <v>46127.938888888886</v>
      </c>
      <c r="S101" s="7" t="str">
        <f>IF(Shipments[[#This Row],[ATA]]&lt;&gt;"", IF(Shipments[[#This Row],[ATA]]&lt;=Shipments[[#This Row],[ETA]],"On Time","Late"), IF(Shipments[[#This Row],[Status]]="Delivered","On Time","Pending"))</f>
        <v>Late</v>
      </c>
      <c r="T10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1" s="11">
        <f ca="1">IF(Shipments[[#This Row],[ETA]]&lt;&gt;"", Shipments[[#This Row],[ETA]]-TODAY(), "")</f>
        <v>-10</v>
      </c>
      <c r="V101" s="13">
        <f>_xlfn.XLOOKUP(Shipments[[#This Row],[Carrier]], CarrierRef[Carrier], CarrierRef[BaseOnTime], "N/A")</f>
        <v>0.93</v>
      </c>
      <c r="W101" s="7" t="str">
        <f>IF(Shipments[[#This Row],[Allocation Type]]="AppleCare", IF(ISNUMBER(SEARCH("AppleCare", Shipments[[#This Row],[Carrier]])), "Compliant", "Liability Risk"), "Compliant")</f>
        <v>Compliant</v>
      </c>
      <c r="X101" s="11">
        <f>ROUND(100 - ((Shipments[[#This Row],[CO₂ Estimate (kg)]]/500)*40) - (Shipments[[#This Row],[RiskScoreCalc]]/3), 0)</f>
        <v>43</v>
      </c>
    </row>
    <row r="102" spans="1:24" x14ac:dyDescent="0.3">
      <c r="A102" s="6" t="s">
        <v>238</v>
      </c>
      <c r="B102" s="6" t="s">
        <v>19</v>
      </c>
      <c r="C102" s="6" t="s">
        <v>20</v>
      </c>
      <c r="D102" s="8">
        <v>46097</v>
      </c>
      <c r="E102" s="8">
        <v>46098</v>
      </c>
      <c r="F102" s="8">
        <v>46104</v>
      </c>
      <c r="G102" s="7">
        <v>46097.166666666664</v>
      </c>
      <c r="H102" s="7">
        <v>46098.625</v>
      </c>
      <c r="I102" s="7">
        <v>46105.5</v>
      </c>
      <c r="J102" s="6" t="s">
        <v>26</v>
      </c>
      <c r="K102" s="6" t="s">
        <v>239</v>
      </c>
      <c r="L102" s="6" t="s">
        <v>28</v>
      </c>
      <c r="M102" s="6">
        <v>-37</v>
      </c>
      <c r="N102" s="6" t="s">
        <v>24</v>
      </c>
      <c r="O102" s="6"/>
      <c r="P102" s="10">
        <v>448</v>
      </c>
      <c r="Q102" s="11">
        <v>43</v>
      </c>
      <c r="R102" s="9">
        <v>46127.897222222222</v>
      </c>
      <c r="S102" s="7" t="str">
        <f>IF(Shipments[[#This Row],[ATA]]&lt;&gt;"", IF(Shipments[[#This Row],[ATA]]&lt;=Shipments[[#This Row],[ETA]],"On Time","Late"), IF(Shipments[[#This Row],[Status]]="Delivered","On Time","Pending"))</f>
        <v>Late</v>
      </c>
      <c r="T10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129.6</v>
      </c>
      <c r="U102" s="11">
        <f ca="1">IF(Shipments[[#This Row],[ETA]]&lt;&gt;"", Shipments[[#This Row],[ETA]]-TODAY(), "")</f>
        <v>-25</v>
      </c>
      <c r="V102" s="13">
        <f>_xlfn.XLOOKUP(Shipments[[#This Row],[Carrier]], CarrierRef[Carrier], CarrierRef[BaseOnTime], "N/A")</f>
        <v>0.91</v>
      </c>
      <c r="W102" s="7" t="str">
        <f>IF(Shipments[[#This Row],[Allocation Type]]="AppleCare", IF(ISNUMBER(SEARCH("AppleCare", Shipments[[#This Row],[Carrier]])), "Compliant", "Liability Risk"), "Compliant")</f>
        <v>Liability Risk</v>
      </c>
      <c r="X102" s="11">
        <f>ROUND(100 - ((Shipments[[#This Row],[CO₂ Estimate (kg)]]/500)*40) - (Shipments[[#This Row],[RiskScoreCalc]]/3), 0)</f>
        <v>21</v>
      </c>
    </row>
    <row r="103" spans="1:24" x14ac:dyDescent="0.3">
      <c r="A103" s="6" t="s">
        <v>240</v>
      </c>
      <c r="B103" s="6" t="s">
        <v>30</v>
      </c>
      <c r="C103" s="6" t="s">
        <v>20</v>
      </c>
      <c r="D103" s="8">
        <v>46092</v>
      </c>
      <c r="E103" s="8">
        <v>46093</v>
      </c>
      <c r="F103" s="8">
        <v>46104</v>
      </c>
      <c r="G103" s="7">
        <v>46092.375</v>
      </c>
      <c r="H103" s="7">
        <v>46094.125</v>
      </c>
      <c r="I103" s="7">
        <v>46106</v>
      </c>
      <c r="J103" s="6" t="s">
        <v>45</v>
      </c>
      <c r="K103" s="6" t="s">
        <v>241</v>
      </c>
      <c r="L103" s="6" t="s">
        <v>23</v>
      </c>
      <c r="M103" s="6">
        <v>-12</v>
      </c>
      <c r="N103" s="6" t="s">
        <v>24</v>
      </c>
      <c r="O103" s="6"/>
      <c r="P103" s="10">
        <v>419.3</v>
      </c>
      <c r="Q103" s="11">
        <v>38</v>
      </c>
      <c r="R103" s="9">
        <v>46128.772222222222</v>
      </c>
      <c r="S103" s="7" t="str">
        <f>IF(Shipments[[#This Row],[ATA]]&lt;&gt;"", IF(Shipments[[#This Row],[ATA]]&lt;=Shipments[[#This Row],[ETA]],"On Time","Late"), IF(Shipments[[#This Row],[Status]]="Delivered","On Time","Pending"))</f>
        <v>Late</v>
      </c>
      <c r="T10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109.6</v>
      </c>
      <c r="U103" s="11">
        <f ca="1">IF(Shipments[[#This Row],[ETA]]&lt;&gt;"", Shipments[[#This Row],[ETA]]-TODAY(), "")</f>
        <v>-25</v>
      </c>
      <c r="V103" s="13">
        <f>_xlfn.XLOOKUP(Shipments[[#This Row],[Carrier]], CarrierRef[Carrier], CarrierRef[BaseOnTime], "N/A")</f>
        <v>0.87</v>
      </c>
      <c r="W103" s="7" t="str">
        <f>IF(Shipments[[#This Row],[Allocation Type]]="AppleCare", IF(ISNUMBER(SEARCH("AppleCare", Shipments[[#This Row],[Carrier]])), "Compliant", "Liability Risk"), "Compliant")</f>
        <v>Compliant</v>
      </c>
      <c r="X103" s="11">
        <f>ROUND(100 - ((Shipments[[#This Row],[CO₂ Estimate (kg)]]/500)*40) - (Shipments[[#This Row],[RiskScoreCalc]]/3), 0)</f>
        <v>30</v>
      </c>
    </row>
    <row r="104" spans="1:24" x14ac:dyDescent="0.3">
      <c r="A104" s="6" t="s">
        <v>242</v>
      </c>
      <c r="B104" s="6" t="s">
        <v>58</v>
      </c>
      <c r="C104" s="6" t="s">
        <v>20</v>
      </c>
      <c r="D104" s="8">
        <v>46107</v>
      </c>
      <c r="E104" s="8">
        <v>46109</v>
      </c>
      <c r="F104" s="8">
        <v>46119</v>
      </c>
      <c r="G104" s="7">
        <v>46109</v>
      </c>
      <c r="H104" s="6"/>
      <c r="I104" s="7">
        <v>46124</v>
      </c>
      <c r="J104" s="6" t="s">
        <v>34</v>
      </c>
      <c r="K104" s="6" t="s">
        <v>243</v>
      </c>
      <c r="L104" s="6" t="s">
        <v>23</v>
      </c>
      <c r="M104" s="6">
        <v>28</v>
      </c>
      <c r="N104" s="6" t="s">
        <v>24</v>
      </c>
      <c r="O104" s="6"/>
      <c r="P104" s="10">
        <v>418.4</v>
      </c>
      <c r="Q104" s="11">
        <v>31</v>
      </c>
      <c r="R104" s="9">
        <v>46127.438888888886</v>
      </c>
      <c r="S104" s="7" t="str">
        <f>IF(Shipments[[#This Row],[ATA]]&lt;&gt;"", IF(Shipments[[#This Row],[ATA]]&lt;=Shipments[[#This Row],[ETA]],"On Time","Late"), IF(Shipments[[#This Row],[Status]]="Delivered","On Time","Pending"))</f>
        <v>Late</v>
      </c>
      <c r="T10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4" s="11">
        <f ca="1">IF(Shipments[[#This Row],[ETA]]&lt;&gt;"", Shipments[[#This Row],[ETA]]-TODAY(), "")</f>
        <v>-10</v>
      </c>
      <c r="V104" s="13">
        <f>_xlfn.XLOOKUP(Shipments[[#This Row],[Carrier]], CarrierRef[Carrier], CarrierRef[BaseOnTime], "N/A")</f>
        <v>0.89</v>
      </c>
      <c r="W104" s="7" t="str">
        <f>IF(Shipments[[#This Row],[Allocation Type]]="AppleCare", IF(ISNUMBER(SEARCH("AppleCare", Shipments[[#This Row],[Carrier]])), "Compliant", "Liability Risk"), "Compliant")</f>
        <v>Compliant</v>
      </c>
      <c r="X104" s="11">
        <f>ROUND(100 - ((Shipments[[#This Row],[CO₂ Estimate (kg)]]/500)*40) - (Shipments[[#This Row],[RiskScoreCalc]]/3), 0)</f>
        <v>33</v>
      </c>
    </row>
    <row r="105" spans="1:24" x14ac:dyDescent="0.3">
      <c r="A105" s="6" t="s">
        <v>244</v>
      </c>
      <c r="B105" s="6" t="s">
        <v>30</v>
      </c>
      <c r="C105" s="6" t="s">
        <v>20</v>
      </c>
      <c r="D105" s="8">
        <v>46101</v>
      </c>
      <c r="E105" s="8">
        <v>46104</v>
      </c>
      <c r="F105" s="8">
        <v>46109</v>
      </c>
      <c r="G105" s="7">
        <v>46101.166666666664</v>
      </c>
      <c r="H105" s="7">
        <v>46105.375</v>
      </c>
      <c r="I105" s="7">
        <v>46110.583333333336</v>
      </c>
      <c r="J105" s="6" t="s">
        <v>26</v>
      </c>
      <c r="K105" s="6" t="s">
        <v>245</v>
      </c>
      <c r="L105" s="6" t="s">
        <v>23</v>
      </c>
      <c r="M105" s="6">
        <v>100</v>
      </c>
      <c r="N105" s="6" t="s">
        <v>24</v>
      </c>
      <c r="O105" s="6"/>
      <c r="P105" s="10">
        <v>519.1</v>
      </c>
      <c r="Q105" s="11">
        <v>33</v>
      </c>
      <c r="R105" s="9">
        <v>46127.605555555558</v>
      </c>
      <c r="S105" s="7" t="str">
        <f>IF(Shipments[[#This Row],[ATA]]&lt;&gt;"", IF(Shipments[[#This Row],[ATA]]&lt;=Shipments[[#This Row],[ETA]],"On Time","Late"), IF(Shipments[[#This Row],[Status]]="Delivered","On Time","Pending"))</f>
        <v>Late</v>
      </c>
      <c r="T10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5" s="11">
        <f ca="1">IF(Shipments[[#This Row],[ETA]]&lt;&gt;"", Shipments[[#This Row],[ETA]]-TODAY(), "")</f>
        <v>-20</v>
      </c>
      <c r="V105" s="13">
        <f>_xlfn.XLOOKUP(Shipments[[#This Row],[Carrier]], CarrierRef[Carrier], CarrierRef[BaseOnTime], "N/A")</f>
        <v>0.91</v>
      </c>
      <c r="W105" s="7" t="str">
        <f>IF(Shipments[[#This Row],[Allocation Type]]="AppleCare", IF(ISNUMBER(SEARCH("AppleCare", Shipments[[#This Row],[Carrier]])), "Compliant", "Liability Risk"), "Compliant")</f>
        <v>Compliant</v>
      </c>
      <c r="X105" s="11">
        <f>ROUND(100 - ((Shipments[[#This Row],[CO₂ Estimate (kg)]]/500)*40) - (Shipments[[#This Row],[RiskScoreCalc]]/3), 0)</f>
        <v>25</v>
      </c>
    </row>
    <row r="106" spans="1:24" x14ac:dyDescent="0.3">
      <c r="A106" s="6" t="s">
        <v>246</v>
      </c>
      <c r="B106" s="6" t="s">
        <v>39</v>
      </c>
      <c r="C106" s="6" t="s">
        <v>20</v>
      </c>
      <c r="D106" s="8">
        <v>46089</v>
      </c>
      <c r="E106" s="8">
        <v>46090</v>
      </c>
      <c r="F106" s="8">
        <v>46098</v>
      </c>
      <c r="G106" s="6"/>
      <c r="H106" s="7">
        <v>46090.75</v>
      </c>
      <c r="I106" s="7">
        <v>46097.875</v>
      </c>
      <c r="J106" s="6" t="s">
        <v>40</v>
      </c>
      <c r="K106" s="6" t="s">
        <v>247</v>
      </c>
      <c r="L106" s="6" t="s">
        <v>23</v>
      </c>
      <c r="M106" s="6">
        <v>4</v>
      </c>
      <c r="N106" s="6" t="s">
        <v>24</v>
      </c>
      <c r="O106" s="6"/>
      <c r="P106" s="10">
        <v>544.20000000000005</v>
      </c>
      <c r="Q106" s="11">
        <v>44</v>
      </c>
      <c r="R106" s="9">
        <v>46127.605555555558</v>
      </c>
      <c r="S106" s="7" t="str">
        <f>IF(Shipments[[#This Row],[ATA]]&lt;&gt;"", IF(Shipments[[#This Row],[ATA]]&lt;=Shipments[[#This Row],[ETA]],"On Time","Late"), IF(Shipments[[#This Row],[Status]]="Delivered","On Time","Pending"))</f>
        <v>On Time</v>
      </c>
      <c r="T10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6" s="11">
        <f ca="1">IF(Shipments[[#This Row],[ETA]]&lt;&gt;"", Shipments[[#This Row],[ETA]]-TODAY(), "")</f>
        <v>-31</v>
      </c>
      <c r="V106" s="13">
        <f>_xlfn.XLOOKUP(Shipments[[#This Row],[Carrier]], CarrierRef[Carrier], CarrierRef[BaseOnTime], "N/A")</f>
        <v>0.93</v>
      </c>
      <c r="W106" s="7" t="str">
        <f>IF(Shipments[[#This Row],[Allocation Type]]="AppleCare", IF(ISNUMBER(SEARCH("AppleCare", Shipments[[#This Row],[Carrier]])), "Compliant", "Liability Risk"), "Compliant")</f>
        <v>Compliant</v>
      </c>
      <c r="X106" s="11">
        <f>ROUND(100 - ((Shipments[[#This Row],[CO₂ Estimate (kg)]]/500)*40) - (Shipments[[#This Row],[RiskScoreCalc]]/3), 0)</f>
        <v>23</v>
      </c>
    </row>
    <row r="107" spans="1:24" x14ac:dyDescent="0.3">
      <c r="A107" s="6" t="s">
        <v>248</v>
      </c>
      <c r="B107" s="6" t="s">
        <v>30</v>
      </c>
      <c r="C107" s="6" t="s">
        <v>20</v>
      </c>
      <c r="D107" s="8">
        <v>46104</v>
      </c>
      <c r="E107" s="8">
        <v>46108</v>
      </c>
      <c r="F107" s="8">
        <v>46118</v>
      </c>
      <c r="G107" s="7">
        <v>46107</v>
      </c>
      <c r="H107" s="7">
        <v>46113</v>
      </c>
      <c r="I107" s="7">
        <v>46122</v>
      </c>
      <c r="J107" s="6" t="s">
        <v>26</v>
      </c>
      <c r="K107" s="6" t="s">
        <v>249</v>
      </c>
      <c r="L107" s="6" t="s">
        <v>28</v>
      </c>
      <c r="M107" s="6">
        <v>116</v>
      </c>
      <c r="N107" s="6" t="s">
        <v>24</v>
      </c>
      <c r="O107" s="6"/>
      <c r="P107" s="10">
        <v>304.3</v>
      </c>
      <c r="Q107" s="11">
        <v>30</v>
      </c>
      <c r="R107" s="9">
        <v>46128.355555555558</v>
      </c>
      <c r="S107" s="7" t="str">
        <f>IF(Shipments[[#This Row],[ATA]]&lt;&gt;"", IF(Shipments[[#This Row],[ATA]]&lt;=Shipments[[#This Row],[ETA]],"On Time","Late"), IF(Shipments[[#This Row],[Status]]="Delivered","On Time","Pending"))</f>
        <v>Late</v>
      </c>
      <c r="T10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7" s="11">
        <f ca="1">IF(Shipments[[#This Row],[ETA]]&lt;&gt;"", Shipments[[#This Row],[ETA]]-TODAY(), "")</f>
        <v>-11</v>
      </c>
      <c r="V107" s="13">
        <f>_xlfn.XLOOKUP(Shipments[[#This Row],[Carrier]], CarrierRef[Carrier], CarrierRef[BaseOnTime], "N/A")</f>
        <v>0.91</v>
      </c>
      <c r="W107" s="7" t="str">
        <f>IF(Shipments[[#This Row],[Allocation Type]]="AppleCare", IF(ISNUMBER(SEARCH("AppleCare", Shipments[[#This Row],[Carrier]])), "Compliant", "Liability Risk"), "Compliant")</f>
        <v>Liability Risk</v>
      </c>
      <c r="X107" s="11">
        <f>ROUND(100 - ((Shipments[[#This Row],[CO₂ Estimate (kg)]]/500)*40) - (Shipments[[#This Row],[RiskScoreCalc]]/3), 0)</f>
        <v>42</v>
      </c>
    </row>
    <row r="108" spans="1:24" x14ac:dyDescent="0.3">
      <c r="A108" s="6" t="s">
        <v>250</v>
      </c>
      <c r="B108" s="6" t="s">
        <v>30</v>
      </c>
      <c r="C108" s="6" t="s">
        <v>20</v>
      </c>
      <c r="D108" s="8">
        <v>46110</v>
      </c>
      <c r="E108" s="8">
        <v>46114</v>
      </c>
      <c r="F108" s="8">
        <v>46124</v>
      </c>
      <c r="G108" s="6"/>
      <c r="H108" s="7">
        <v>46114.375</v>
      </c>
      <c r="I108" s="7">
        <v>46124.25</v>
      </c>
      <c r="J108" s="6" t="s">
        <v>50</v>
      </c>
      <c r="K108" s="6" t="s">
        <v>251</v>
      </c>
      <c r="L108" s="6" t="s">
        <v>23</v>
      </c>
      <c r="M108" s="6">
        <v>91</v>
      </c>
      <c r="N108" s="6" t="s">
        <v>24</v>
      </c>
      <c r="O108" s="6"/>
      <c r="P108" s="10">
        <v>640.70000000000005</v>
      </c>
      <c r="Q108" s="11">
        <v>41</v>
      </c>
      <c r="R108" s="9">
        <v>46127.938888888886</v>
      </c>
      <c r="S108" s="7" t="str">
        <f>IF(Shipments[[#This Row],[ATA]]&lt;&gt;"", IF(Shipments[[#This Row],[ATA]]&lt;=Shipments[[#This Row],[ETA]],"On Time","Late"), IF(Shipments[[#This Row],[Status]]="Delivered","On Time","Pending"))</f>
        <v>Late</v>
      </c>
      <c r="T10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8" s="11">
        <f ca="1">IF(Shipments[[#This Row],[ETA]]&lt;&gt;"", Shipments[[#This Row],[ETA]]-TODAY(), "")</f>
        <v>-5</v>
      </c>
      <c r="V108" s="13">
        <f>_xlfn.XLOOKUP(Shipments[[#This Row],[Carrier]], CarrierRef[Carrier], CarrierRef[BaseOnTime], "N/A")</f>
        <v>0.92</v>
      </c>
      <c r="W108" s="7" t="str">
        <f>IF(Shipments[[#This Row],[Allocation Type]]="AppleCare", IF(ISNUMBER(SEARCH("AppleCare", Shipments[[#This Row],[Carrier]])), "Compliant", "Liability Risk"), "Compliant")</f>
        <v>Compliant</v>
      </c>
      <c r="X108" s="11">
        <f>ROUND(100 - ((Shipments[[#This Row],[CO₂ Estimate (kg)]]/500)*40) - (Shipments[[#This Row],[RiskScoreCalc]]/3), 0)</f>
        <v>15</v>
      </c>
    </row>
    <row r="109" spans="1:24" x14ac:dyDescent="0.3">
      <c r="A109" s="6" t="s">
        <v>252</v>
      </c>
      <c r="B109" s="6" t="s">
        <v>33</v>
      </c>
      <c r="C109" s="6" t="s">
        <v>20</v>
      </c>
      <c r="D109" s="8">
        <v>46108</v>
      </c>
      <c r="E109" s="8">
        <v>46111</v>
      </c>
      <c r="F109" s="8">
        <v>46123</v>
      </c>
      <c r="G109" s="7">
        <v>46108.916666666664</v>
      </c>
      <c r="H109" s="7">
        <v>46111.375</v>
      </c>
      <c r="I109" s="7">
        <v>46124.958333333336</v>
      </c>
      <c r="J109" s="6" t="s">
        <v>50</v>
      </c>
      <c r="K109" s="6" t="s">
        <v>253</v>
      </c>
      <c r="L109" s="6" t="s">
        <v>28</v>
      </c>
      <c r="M109" s="6">
        <v>21</v>
      </c>
      <c r="N109" s="6" t="s">
        <v>24</v>
      </c>
      <c r="O109" s="6"/>
      <c r="P109" s="10">
        <v>469.4</v>
      </c>
      <c r="Q109" s="11">
        <v>33</v>
      </c>
      <c r="R109" s="9">
        <v>46128.230555555558</v>
      </c>
      <c r="S109" s="7" t="str">
        <f>IF(Shipments[[#This Row],[ATA]]&lt;&gt;"", IF(Shipments[[#This Row],[ATA]]&lt;=Shipments[[#This Row],[ETA]],"On Time","Late"), IF(Shipments[[#This Row],[Status]]="Delivered","On Time","Pending"))</f>
        <v>Late</v>
      </c>
      <c r="T10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09" s="11">
        <f ca="1">IF(Shipments[[#This Row],[ETA]]&lt;&gt;"", Shipments[[#This Row],[ETA]]-TODAY(), "")</f>
        <v>-6</v>
      </c>
      <c r="V109" s="13">
        <f>_xlfn.XLOOKUP(Shipments[[#This Row],[Carrier]], CarrierRef[Carrier], CarrierRef[BaseOnTime], "N/A")</f>
        <v>0.92</v>
      </c>
      <c r="W109" s="7" t="str">
        <f>IF(Shipments[[#This Row],[Allocation Type]]="AppleCare", IF(ISNUMBER(SEARCH("AppleCare", Shipments[[#This Row],[Carrier]])), "Compliant", "Liability Risk"), "Compliant")</f>
        <v>Liability Risk</v>
      </c>
      <c r="X109" s="11">
        <f>ROUND(100 - ((Shipments[[#This Row],[CO₂ Estimate (kg)]]/500)*40) - (Shipments[[#This Row],[RiskScoreCalc]]/3), 0)</f>
        <v>29</v>
      </c>
    </row>
    <row r="110" spans="1:24" x14ac:dyDescent="0.3">
      <c r="A110" s="6" t="s">
        <v>254</v>
      </c>
      <c r="B110" s="6" t="s">
        <v>63</v>
      </c>
      <c r="C110" s="6" t="s">
        <v>20</v>
      </c>
      <c r="D110" s="8">
        <v>46101</v>
      </c>
      <c r="E110" s="8">
        <v>46104</v>
      </c>
      <c r="F110" s="8">
        <v>46116</v>
      </c>
      <c r="G110" s="7">
        <v>46100.833333333336</v>
      </c>
      <c r="H110" s="7">
        <v>46103.666666666664</v>
      </c>
      <c r="I110" s="7">
        <v>46116.958333333336</v>
      </c>
      <c r="J110" s="6" t="s">
        <v>21</v>
      </c>
      <c r="K110" s="6" t="s">
        <v>255</v>
      </c>
      <c r="L110" s="6" t="s">
        <v>23</v>
      </c>
      <c r="M110" s="6">
        <v>-8</v>
      </c>
      <c r="N110" s="6" t="s">
        <v>24</v>
      </c>
      <c r="O110" s="6"/>
      <c r="P110" s="10">
        <v>619.5</v>
      </c>
      <c r="Q110" s="11">
        <v>47</v>
      </c>
      <c r="R110" s="9">
        <v>46127.605555555558</v>
      </c>
      <c r="S110" s="7" t="str">
        <f>IF(Shipments[[#This Row],[ATA]]&lt;&gt;"", IF(Shipments[[#This Row],[ATA]]&lt;=Shipments[[#This Row],[ETA]],"On Time","Late"), IF(Shipments[[#This Row],[Status]]="Delivered","On Time","Pending"))</f>
        <v>Late</v>
      </c>
      <c r="T11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106.4</v>
      </c>
      <c r="U110" s="11">
        <f ca="1">IF(Shipments[[#This Row],[ETA]]&lt;&gt;"", Shipments[[#This Row],[ETA]]-TODAY(), "")</f>
        <v>-13</v>
      </c>
      <c r="V110" s="13">
        <f>_xlfn.XLOOKUP(Shipments[[#This Row],[Carrier]], CarrierRef[Carrier], CarrierRef[BaseOnTime], "N/A")</f>
        <v>0.94</v>
      </c>
      <c r="W110" s="7" t="str">
        <f>IF(Shipments[[#This Row],[Allocation Type]]="AppleCare", IF(ISNUMBER(SEARCH("AppleCare", Shipments[[#This Row],[Carrier]])), "Compliant", "Liability Risk"), "Compliant")</f>
        <v>Compliant</v>
      </c>
      <c r="X110" s="11">
        <f>ROUND(100 - ((Shipments[[#This Row],[CO₂ Estimate (kg)]]/500)*40) - (Shipments[[#This Row],[RiskScoreCalc]]/3), 0)</f>
        <v>15</v>
      </c>
    </row>
    <row r="111" spans="1:24" x14ac:dyDescent="0.3">
      <c r="A111" s="6" t="s">
        <v>256</v>
      </c>
      <c r="B111" s="6" t="s">
        <v>19</v>
      </c>
      <c r="C111" s="6" t="s">
        <v>20</v>
      </c>
      <c r="D111" s="8">
        <v>46108</v>
      </c>
      <c r="E111" s="8">
        <v>46110</v>
      </c>
      <c r="F111" s="8">
        <v>46115</v>
      </c>
      <c r="G111" s="6"/>
      <c r="H111" s="7">
        <v>46114</v>
      </c>
      <c r="I111" s="7">
        <v>46118</v>
      </c>
      <c r="J111" s="6" t="s">
        <v>21</v>
      </c>
      <c r="K111" s="6" t="s">
        <v>257</v>
      </c>
      <c r="L111" s="6" t="s">
        <v>23</v>
      </c>
      <c r="M111" s="6">
        <v>-39</v>
      </c>
      <c r="N111" s="6" t="s">
        <v>24</v>
      </c>
      <c r="O111" s="6"/>
      <c r="P111" s="10">
        <v>366.6</v>
      </c>
      <c r="Q111" s="11">
        <v>53</v>
      </c>
      <c r="R111" s="9">
        <v>46128.397222222222</v>
      </c>
      <c r="S111" s="7" t="str">
        <f>IF(Shipments[[#This Row],[ATA]]&lt;&gt;"", IF(Shipments[[#This Row],[ATA]]&lt;=Shipments[[#This Row],[ETA]],"On Time","Late"), IF(Shipments[[#This Row],[Status]]="Delivered","On Time","Pending"))</f>
        <v>Late</v>
      </c>
      <c r="T11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131.19999999999999</v>
      </c>
      <c r="U111" s="11">
        <f ca="1">IF(Shipments[[#This Row],[ETA]]&lt;&gt;"", Shipments[[#This Row],[ETA]]-TODAY(), "")</f>
        <v>-14</v>
      </c>
      <c r="V111" s="13">
        <f>_xlfn.XLOOKUP(Shipments[[#This Row],[Carrier]], CarrierRef[Carrier], CarrierRef[BaseOnTime], "N/A")</f>
        <v>0.94</v>
      </c>
      <c r="W111" s="7" t="str">
        <f>IF(Shipments[[#This Row],[Allocation Type]]="AppleCare", IF(ISNUMBER(SEARCH("AppleCare", Shipments[[#This Row],[Carrier]])), "Compliant", "Liability Risk"), "Compliant")</f>
        <v>Compliant</v>
      </c>
      <c r="X111" s="11">
        <f>ROUND(100 - ((Shipments[[#This Row],[CO₂ Estimate (kg)]]/500)*40) - (Shipments[[#This Row],[RiskScoreCalc]]/3), 0)</f>
        <v>27</v>
      </c>
    </row>
    <row r="112" spans="1:24" x14ac:dyDescent="0.3">
      <c r="A112" s="6" t="s">
        <v>258</v>
      </c>
      <c r="B112" s="6" t="s">
        <v>58</v>
      </c>
      <c r="C112" s="6" t="s">
        <v>20</v>
      </c>
      <c r="D112" s="8">
        <v>46097</v>
      </c>
      <c r="E112" s="8">
        <v>46101</v>
      </c>
      <c r="F112" s="8">
        <v>46113</v>
      </c>
      <c r="G112" s="7">
        <v>46098</v>
      </c>
      <c r="H112" s="7">
        <v>46106</v>
      </c>
      <c r="I112" s="7">
        <v>46118</v>
      </c>
      <c r="J112" s="6" t="s">
        <v>21</v>
      </c>
      <c r="K112" s="6" t="s">
        <v>259</v>
      </c>
      <c r="L112" s="6" t="s">
        <v>28</v>
      </c>
      <c r="M112" s="6">
        <v>-20</v>
      </c>
      <c r="N112" s="6" t="s">
        <v>24</v>
      </c>
      <c r="O112" s="6"/>
      <c r="P112" s="10">
        <v>523.6</v>
      </c>
      <c r="Q112" s="11">
        <v>47</v>
      </c>
      <c r="R112" s="9">
        <v>46128.188888888886</v>
      </c>
      <c r="S112" s="7" t="str">
        <f>IF(Shipments[[#This Row],[ATA]]&lt;&gt;"", IF(Shipments[[#This Row],[ATA]]&lt;=Shipments[[#This Row],[ETA]],"On Time","Late"), IF(Shipments[[#This Row],[Status]]="Delivered","On Time","Pending"))</f>
        <v>Late</v>
      </c>
      <c r="T11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116</v>
      </c>
      <c r="U112" s="11">
        <f ca="1">IF(Shipments[[#This Row],[ETA]]&lt;&gt;"", Shipments[[#This Row],[ETA]]-TODAY(), "")</f>
        <v>-16</v>
      </c>
      <c r="V112" s="13">
        <f>_xlfn.XLOOKUP(Shipments[[#This Row],[Carrier]], CarrierRef[Carrier], CarrierRef[BaseOnTime], "N/A")</f>
        <v>0.94</v>
      </c>
      <c r="W112" s="7" t="str">
        <f>IF(Shipments[[#This Row],[Allocation Type]]="AppleCare", IF(ISNUMBER(SEARCH("AppleCare", Shipments[[#This Row],[Carrier]])), "Compliant", "Liability Risk"), "Compliant")</f>
        <v>Liability Risk</v>
      </c>
      <c r="X112" s="11">
        <f>ROUND(100 - ((Shipments[[#This Row],[CO₂ Estimate (kg)]]/500)*40) - (Shipments[[#This Row],[RiskScoreCalc]]/3), 0)</f>
        <v>19</v>
      </c>
    </row>
    <row r="113" spans="1:24" x14ac:dyDescent="0.3">
      <c r="A113" s="6" t="s">
        <v>260</v>
      </c>
      <c r="B113" s="6" t="s">
        <v>19</v>
      </c>
      <c r="C113" s="6" t="s">
        <v>20</v>
      </c>
      <c r="D113" s="8">
        <v>46107</v>
      </c>
      <c r="E113" s="8">
        <v>46111</v>
      </c>
      <c r="F113" s="8">
        <v>46122</v>
      </c>
      <c r="G113" s="7">
        <v>46106.708333333336</v>
      </c>
      <c r="H113" s="7">
        <v>46111.708333333336</v>
      </c>
      <c r="I113" s="7">
        <v>46123.25</v>
      </c>
      <c r="J113" s="6" t="s">
        <v>40</v>
      </c>
      <c r="K113" s="6" t="s">
        <v>261</v>
      </c>
      <c r="L113" s="6" t="s">
        <v>23</v>
      </c>
      <c r="M113" s="6">
        <v>-13</v>
      </c>
      <c r="N113" s="6" t="s">
        <v>24</v>
      </c>
      <c r="O113" s="6"/>
      <c r="P113" s="10">
        <v>619.79999999999995</v>
      </c>
      <c r="Q113" s="11">
        <v>22</v>
      </c>
      <c r="R113" s="9">
        <v>46128.188888888886</v>
      </c>
      <c r="S113" s="7" t="str">
        <f>IF(Shipments[[#This Row],[ATA]]&lt;&gt;"", IF(Shipments[[#This Row],[ATA]]&lt;=Shipments[[#This Row],[ETA]],"On Time","Late"), IF(Shipments[[#This Row],[Status]]="Delivered","On Time","Pending"))</f>
        <v>Late</v>
      </c>
      <c r="T11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110.4</v>
      </c>
      <c r="U113" s="11">
        <f ca="1">IF(Shipments[[#This Row],[ETA]]&lt;&gt;"", Shipments[[#This Row],[ETA]]-TODAY(), "")</f>
        <v>-7</v>
      </c>
      <c r="V113" s="13">
        <f>_xlfn.XLOOKUP(Shipments[[#This Row],[Carrier]], CarrierRef[Carrier], CarrierRef[BaseOnTime], "N/A")</f>
        <v>0.93</v>
      </c>
      <c r="W113" s="7" t="str">
        <f>IF(Shipments[[#This Row],[Allocation Type]]="AppleCare", IF(ISNUMBER(SEARCH("AppleCare", Shipments[[#This Row],[Carrier]])), "Compliant", "Liability Risk"), "Compliant")</f>
        <v>Compliant</v>
      </c>
      <c r="X113" s="11">
        <f>ROUND(100 - ((Shipments[[#This Row],[CO₂ Estimate (kg)]]/500)*40) - (Shipments[[#This Row],[RiskScoreCalc]]/3), 0)</f>
        <v>14</v>
      </c>
    </row>
    <row r="114" spans="1:24" x14ac:dyDescent="0.3">
      <c r="A114" s="6" t="s">
        <v>262</v>
      </c>
      <c r="B114" s="6" t="s">
        <v>30</v>
      </c>
      <c r="C114" s="6" t="s">
        <v>20</v>
      </c>
      <c r="D114" s="8">
        <v>46096</v>
      </c>
      <c r="E114" s="8">
        <v>46099</v>
      </c>
      <c r="F114" s="8">
        <v>46107</v>
      </c>
      <c r="G114" s="7">
        <v>46095.791666666664</v>
      </c>
      <c r="H114" s="7">
        <v>46099.875</v>
      </c>
      <c r="I114" s="7">
        <v>46107.291666666664</v>
      </c>
      <c r="J114" s="6" t="s">
        <v>45</v>
      </c>
      <c r="K114" s="6" t="s">
        <v>263</v>
      </c>
      <c r="L114" s="6" t="s">
        <v>23</v>
      </c>
      <c r="M114" s="6">
        <v>80</v>
      </c>
      <c r="N114" s="6" t="s">
        <v>24</v>
      </c>
      <c r="O114" s="6"/>
      <c r="P114" s="10">
        <v>597.29999999999995</v>
      </c>
      <c r="Q114" s="11">
        <v>39</v>
      </c>
      <c r="R114" s="9">
        <v>46128.063888888886</v>
      </c>
      <c r="S114" s="7" t="str">
        <f>IF(Shipments[[#This Row],[ATA]]&lt;&gt;"", IF(Shipments[[#This Row],[ATA]]&lt;=Shipments[[#This Row],[ETA]],"On Time","Late"), IF(Shipments[[#This Row],[Status]]="Delivered","On Time","Pending"))</f>
        <v>Late</v>
      </c>
      <c r="T11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4" s="11">
        <f ca="1">IF(Shipments[[#This Row],[ETA]]&lt;&gt;"", Shipments[[#This Row],[ETA]]-TODAY(), "")</f>
        <v>-22</v>
      </c>
      <c r="V114" s="13">
        <f>_xlfn.XLOOKUP(Shipments[[#This Row],[Carrier]], CarrierRef[Carrier], CarrierRef[BaseOnTime], "N/A")</f>
        <v>0.87</v>
      </c>
      <c r="W114" s="7" t="str">
        <f>IF(Shipments[[#This Row],[Allocation Type]]="AppleCare", IF(ISNUMBER(SEARCH("AppleCare", Shipments[[#This Row],[Carrier]])), "Compliant", "Liability Risk"), "Compliant")</f>
        <v>Compliant</v>
      </c>
      <c r="X114" s="11">
        <f>ROUND(100 - ((Shipments[[#This Row],[CO₂ Estimate (kg)]]/500)*40) - (Shipments[[#This Row],[RiskScoreCalc]]/3), 0)</f>
        <v>19</v>
      </c>
    </row>
    <row r="115" spans="1:24" x14ac:dyDescent="0.3">
      <c r="A115" s="6" t="s">
        <v>264</v>
      </c>
      <c r="B115" s="6" t="s">
        <v>63</v>
      </c>
      <c r="C115" s="6" t="s">
        <v>20</v>
      </c>
      <c r="D115" s="8">
        <v>46102</v>
      </c>
      <c r="E115" s="8">
        <v>46105</v>
      </c>
      <c r="F115" s="8">
        <v>46116</v>
      </c>
      <c r="G115" s="7">
        <v>46105</v>
      </c>
      <c r="H115" s="7">
        <v>46110</v>
      </c>
      <c r="I115" s="7">
        <v>46123</v>
      </c>
      <c r="J115" s="6" t="s">
        <v>34</v>
      </c>
      <c r="K115" s="6" t="s">
        <v>265</v>
      </c>
      <c r="L115" s="6" t="s">
        <v>23</v>
      </c>
      <c r="M115" s="6">
        <v>15</v>
      </c>
      <c r="N115" s="6" t="s">
        <v>24</v>
      </c>
      <c r="O115" s="6"/>
      <c r="P115" s="10">
        <v>460</v>
      </c>
      <c r="Q115" s="11">
        <v>40</v>
      </c>
      <c r="R115" s="9">
        <v>46128.647222222222</v>
      </c>
      <c r="S115" s="7" t="str">
        <f>IF(Shipments[[#This Row],[ATA]]&lt;&gt;"", IF(Shipments[[#This Row],[ATA]]&lt;=Shipments[[#This Row],[ETA]],"On Time","Late"), IF(Shipments[[#This Row],[Status]]="Delivered","On Time","Pending"))</f>
        <v>Late</v>
      </c>
      <c r="T11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5" s="11">
        <f ca="1">IF(Shipments[[#This Row],[ETA]]&lt;&gt;"", Shipments[[#This Row],[ETA]]-TODAY(), "")</f>
        <v>-13</v>
      </c>
      <c r="V115" s="13">
        <f>_xlfn.XLOOKUP(Shipments[[#This Row],[Carrier]], CarrierRef[Carrier], CarrierRef[BaseOnTime], "N/A")</f>
        <v>0.89</v>
      </c>
      <c r="W115" s="7" t="str">
        <f>IF(Shipments[[#This Row],[Allocation Type]]="AppleCare", IF(ISNUMBER(SEARCH("AppleCare", Shipments[[#This Row],[Carrier]])), "Compliant", "Liability Risk"), "Compliant")</f>
        <v>Compliant</v>
      </c>
      <c r="X115" s="11">
        <f>ROUND(100 - ((Shipments[[#This Row],[CO₂ Estimate (kg)]]/500)*40) - (Shipments[[#This Row],[RiskScoreCalc]]/3), 0)</f>
        <v>30</v>
      </c>
    </row>
    <row r="116" spans="1:24" x14ac:dyDescent="0.3">
      <c r="A116" s="6" t="s">
        <v>266</v>
      </c>
      <c r="B116" s="6" t="s">
        <v>33</v>
      </c>
      <c r="C116" s="6" t="s">
        <v>20</v>
      </c>
      <c r="D116" s="8">
        <v>46106</v>
      </c>
      <c r="E116" s="8">
        <v>46108</v>
      </c>
      <c r="F116" s="8">
        <v>46115</v>
      </c>
      <c r="G116" s="7">
        <v>46106.875</v>
      </c>
      <c r="H116" s="6"/>
      <c r="I116" s="7">
        <v>46114.791666666664</v>
      </c>
      <c r="J116" s="6" t="s">
        <v>21</v>
      </c>
      <c r="K116" s="6" t="s">
        <v>267</v>
      </c>
      <c r="L116" s="6" t="s">
        <v>23</v>
      </c>
      <c r="M116" s="6">
        <v>101</v>
      </c>
      <c r="N116" s="6" t="s">
        <v>24</v>
      </c>
      <c r="O116" s="6"/>
      <c r="P116" s="10">
        <v>602.5</v>
      </c>
      <c r="Q116" s="11">
        <v>29</v>
      </c>
      <c r="R116" s="9">
        <v>46128.730555555558</v>
      </c>
      <c r="S116" s="7" t="str">
        <f>IF(Shipments[[#This Row],[ATA]]&lt;&gt;"", IF(Shipments[[#This Row],[ATA]]&lt;=Shipments[[#This Row],[ETA]],"On Time","Late"), IF(Shipments[[#This Row],[Status]]="Delivered","On Time","Pending"))</f>
        <v>On Time</v>
      </c>
      <c r="T11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6" s="11">
        <f ca="1">IF(Shipments[[#This Row],[ETA]]&lt;&gt;"", Shipments[[#This Row],[ETA]]-TODAY(), "")</f>
        <v>-14</v>
      </c>
      <c r="V116" s="13">
        <f>_xlfn.XLOOKUP(Shipments[[#This Row],[Carrier]], CarrierRef[Carrier], CarrierRef[BaseOnTime], "N/A")</f>
        <v>0.94</v>
      </c>
      <c r="W116" s="7" t="str">
        <f>IF(Shipments[[#This Row],[Allocation Type]]="AppleCare", IF(ISNUMBER(SEARCH("AppleCare", Shipments[[#This Row],[Carrier]])), "Compliant", "Liability Risk"), "Compliant")</f>
        <v>Compliant</v>
      </c>
      <c r="X116" s="11">
        <f>ROUND(100 - ((Shipments[[#This Row],[CO₂ Estimate (kg)]]/500)*40) - (Shipments[[#This Row],[RiskScoreCalc]]/3), 0)</f>
        <v>18</v>
      </c>
    </row>
    <row r="117" spans="1:24" x14ac:dyDescent="0.3">
      <c r="A117" s="6" t="s">
        <v>268</v>
      </c>
      <c r="B117" s="6" t="s">
        <v>39</v>
      </c>
      <c r="C117" s="6" t="s">
        <v>20</v>
      </c>
      <c r="D117" s="8">
        <v>46111</v>
      </c>
      <c r="E117" s="8">
        <v>46112</v>
      </c>
      <c r="F117" s="8">
        <v>46123</v>
      </c>
      <c r="G117" s="7">
        <v>46110.5</v>
      </c>
      <c r="H117" s="6"/>
      <c r="I117" s="7">
        <v>46124.041666666664</v>
      </c>
      <c r="J117" s="6" t="s">
        <v>26</v>
      </c>
      <c r="K117" s="6" t="s">
        <v>269</v>
      </c>
      <c r="L117" s="6" t="s">
        <v>28</v>
      </c>
      <c r="M117" s="6">
        <v>60</v>
      </c>
      <c r="N117" s="6" t="s">
        <v>24</v>
      </c>
      <c r="O117" s="6"/>
      <c r="P117" s="10">
        <v>210</v>
      </c>
      <c r="Q117" s="11">
        <v>16</v>
      </c>
      <c r="R117" s="9">
        <v>46128.688888888886</v>
      </c>
      <c r="S117" s="7" t="str">
        <f>IF(Shipments[[#This Row],[ATA]]&lt;&gt;"", IF(Shipments[[#This Row],[ATA]]&lt;=Shipments[[#This Row],[ETA]],"On Time","Late"), IF(Shipments[[#This Row],[Status]]="Delivered","On Time","Pending"))</f>
        <v>Late</v>
      </c>
      <c r="T11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7" s="11">
        <f ca="1">IF(Shipments[[#This Row],[ETA]]&lt;&gt;"", Shipments[[#This Row],[ETA]]-TODAY(), "")</f>
        <v>-6</v>
      </c>
      <c r="V117" s="13">
        <f>_xlfn.XLOOKUP(Shipments[[#This Row],[Carrier]], CarrierRef[Carrier], CarrierRef[BaseOnTime], "N/A")</f>
        <v>0.91</v>
      </c>
      <c r="W117" s="7" t="str">
        <f>IF(Shipments[[#This Row],[Allocation Type]]="AppleCare", IF(ISNUMBER(SEARCH("AppleCare", Shipments[[#This Row],[Carrier]])), "Compliant", "Liability Risk"), "Compliant")</f>
        <v>Liability Risk</v>
      </c>
      <c r="X117" s="11">
        <f>ROUND(100 - ((Shipments[[#This Row],[CO₂ Estimate (kg)]]/500)*40) - (Shipments[[#This Row],[RiskScoreCalc]]/3), 0)</f>
        <v>50</v>
      </c>
    </row>
    <row r="118" spans="1:24" x14ac:dyDescent="0.3">
      <c r="A118" s="6" t="s">
        <v>270</v>
      </c>
      <c r="B118" s="6" t="s">
        <v>63</v>
      </c>
      <c r="C118" s="6" t="s">
        <v>20</v>
      </c>
      <c r="D118" s="8">
        <v>46099</v>
      </c>
      <c r="E118" s="8">
        <v>46103</v>
      </c>
      <c r="F118" s="8">
        <v>46115</v>
      </c>
      <c r="G118" s="6"/>
      <c r="H118" s="7">
        <v>46107</v>
      </c>
      <c r="I118" s="7">
        <v>46117</v>
      </c>
      <c r="J118" s="6" t="s">
        <v>26</v>
      </c>
      <c r="K118" s="6" t="s">
        <v>271</v>
      </c>
      <c r="L118" s="6" t="s">
        <v>28</v>
      </c>
      <c r="M118" s="6">
        <v>90</v>
      </c>
      <c r="N118" s="6" t="s">
        <v>24</v>
      </c>
      <c r="O118" s="6"/>
      <c r="P118" s="10">
        <v>584.29999999999995</v>
      </c>
      <c r="Q118" s="11">
        <v>18</v>
      </c>
      <c r="R118" s="9">
        <v>46128.397222222222</v>
      </c>
      <c r="S118" s="7" t="str">
        <f>IF(Shipments[[#This Row],[ATA]]&lt;&gt;"", IF(Shipments[[#This Row],[ATA]]&lt;=Shipments[[#This Row],[ETA]],"On Time","Late"), IF(Shipments[[#This Row],[Status]]="Delivered","On Time","Pending"))</f>
        <v>Late</v>
      </c>
      <c r="T11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8" s="11">
        <f ca="1">IF(Shipments[[#This Row],[ETA]]&lt;&gt;"", Shipments[[#This Row],[ETA]]-TODAY(), "")</f>
        <v>-14</v>
      </c>
      <c r="V118" s="13">
        <f>_xlfn.XLOOKUP(Shipments[[#This Row],[Carrier]], CarrierRef[Carrier], CarrierRef[BaseOnTime], "N/A")</f>
        <v>0.91</v>
      </c>
      <c r="W118" s="7" t="str">
        <f>IF(Shipments[[#This Row],[Allocation Type]]="AppleCare", IF(ISNUMBER(SEARCH("AppleCare", Shipments[[#This Row],[Carrier]])), "Compliant", "Liability Risk"), "Compliant")</f>
        <v>Liability Risk</v>
      </c>
      <c r="X118" s="11">
        <f>ROUND(100 - ((Shipments[[#This Row],[CO₂ Estimate (kg)]]/500)*40) - (Shipments[[#This Row],[RiskScoreCalc]]/3), 0)</f>
        <v>20</v>
      </c>
    </row>
    <row r="119" spans="1:24" x14ac:dyDescent="0.3">
      <c r="A119" s="6" t="s">
        <v>272</v>
      </c>
      <c r="B119" s="6" t="s">
        <v>33</v>
      </c>
      <c r="C119" s="6" t="s">
        <v>20</v>
      </c>
      <c r="D119" s="8">
        <v>46102</v>
      </c>
      <c r="E119" s="8">
        <v>46106</v>
      </c>
      <c r="F119" s="8">
        <v>46117</v>
      </c>
      <c r="G119" s="7">
        <v>46103</v>
      </c>
      <c r="H119" s="7">
        <v>46110</v>
      </c>
      <c r="I119" s="7">
        <v>46121</v>
      </c>
      <c r="J119" s="6" t="s">
        <v>21</v>
      </c>
      <c r="K119" s="6" t="s">
        <v>273</v>
      </c>
      <c r="L119" s="6" t="s">
        <v>28</v>
      </c>
      <c r="M119" s="6">
        <v>0</v>
      </c>
      <c r="N119" s="6" t="s">
        <v>24</v>
      </c>
      <c r="O119" s="6"/>
      <c r="P119" s="10">
        <v>520.79999999999995</v>
      </c>
      <c r="Q119" s="11">
        <v>18</v>
      </c>
      <c r="R119" s="9">
        <v>46128.772222222222</v>
      </c>
      <c r="S119" s="7" t="str">
        <f>IF(Shipments[[#This Row],[ATA]]&lt;&gt;"", IF(Shipments[[#This Row],[ATA]]&lt;=Shipments[[#This Row],[ETA]],"On Time","Late"), IF(Shipments[[#This Row],[Status]]="Delivered","On Time","Pending"))</f>
        <v>Late</v>
      </c>
      <c r="T11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19" s="11">
        <f ca="1">IF(Shipments[[#This Row],[ETA]]&lt;&gt;"", Shipments[[#This Row],[ETA]]-TODAY(), "")</f>
        <v>-12</v>
      </c>
      <c r="V119" s="13">
        <f>_xlfn.XLOOKUP(Shipments[[#This Row],[Carrier]], CarrierRef[Carrier], CarrierRef[BaseOnTime], "N/A")</f>
        <v>0.94</v>
      </c>
      <c r="W119" s="7" t="str">
        <f>IF(Shipments[[#This Row],[Allocation Type]]="AppleCare", IF(ISNUMBER(SEARCH("AppleCare", Shipments[[#This Row],[Carrier]])), "Compliant", "Liability Risk"), "Compliant")</f>
        <v>Liability Risk</v>
      </c>
      <c r="X119" s="11">
        <f>ROUND(100 - ((Shipments[[#This Row],[CO₂ Estimate (kg)]]/500)*40) - (Shipments[[#This Row],[RiskScoreCalc]]/3), 0)</f>
        <v>25</v>
      </c>
    </row>
    <row r="120" spans="1:24" x14ac:dyDescent="0.3">
      <c r="A120" s="6" t="s">
        <v>274</v>
      </c>
      <c r="B120" s="6" t="s">
        <v>33</v>
      </c>
      <c r="C120" s="6" t="s">
        <v>20</v>
      </c>
      <c r="D120" s="8">
        <v>46090</v>
      </c>
      <c r="E120" s="8">
        <v>46091</v>
      </c>
      <c r="F120" s="8">
        <v>46096</v>
      </c>
      <c r="G120" s="7">
        <v>46089.625</v>
      </c>
      <c r="H120" s="7">
        <v>46091.291666666664</v>
      </c>
      <c r="I120" s="7">
        <v>46097.458333333336</v>
      </c>
      <c r="J120" s="6" t="s">
        <v>40</v>
      </c>
      <c r="K120" s="6" t="s">
        <v>31</v>
      </c>
      <c r="L120" s="6" t="s">
        <v>23</v>
      </c>
      <c r="M120" s="6">
        <v>64</v>
      </c>
      <c r="N120" s="6" t="s">
        <v>24</v>
      </c>
      <c r="O120" s="6"/>
      <c r="P120" s="10">
        <v>282.10000000000002</v>
      </c>
      <c r="Q120" s="11">
        <v>42</v>
      </c>
      <c r="R120" s="9">
        <v>46128.730555555558</v>
      </c>
      <c r="S120" s="7" t="str">
        <f>IF(Shipments[[#This Row],[ATA]]&lt;&gt;"", IF(Shipments[[#This Row],[ATA]]&lt;=Shipments[[#This Row],[ETA]],"On Time","Late"), IF(Shipments[[#This Row],[Status]]="Delivered","On Time","Pending"))</f>
        <v>Late</v>
      </c>
      <c r="T12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0" s="11">
        <f ca="1">IF(Shipments[[#This Row],[ETA]]&lt;&gt;"", Shipments[[#This Row],[ETA]]-TODAY(), "")</f>
        <v>-33</v>
      </c>
      <c r="V120" s="13">
        <f>_xlfn.XLOOKUP(Shipments[[#This Row],[Carrier]], CarrierRef[Carrier], CarrierRef[BaseOnTime], "N/A")</f>
        <v>0.93</v>
      </c>
      <c r="W120" s="7" t="str">
        <f>IF(Shipments[[#This Row],[Allocation Type]]="AppleCare", IF(ISNUMBER(SEARCH("AppleCare", Shipments[[#This Row],[Carrier]])), "Compliant", "Liability Risk"), "Compliant")</f>
        <v>Compliant</v>
      </c>
      <c r="X120" s="11">
        <f>ROUND(100 - ((Shipments[[#This Row],[CO₂ Estimate (kg)]]/500)*40) - (Shipments[[#This Row],[RiskScoreCalc]]/3), 0)</f>
        <v>44</v>
      </c>
    </row>
    <row r="121" spans="1:24" x14ac:dyDescent="0.3">
      <c r="A121" s="6" t="s">
        <v>275</v>
      </c>
      <c r="B121" s="6" t="s">
        <v>58</v>
      </c>
      <c r="C121" s="6" t="s">
        <v>20</v>
      </c>
      <c r="D121" s="8">
        <v>46095</v>
      </c>
      <c r="E121" s="8">
        <v>46098</v>
      </c>
      <c r="F121" s="8">
        <v>46105</v>
      </c>
      <c r="G121" s="7">
        <v>46096</v>
      </c>
      <c r="H121" s="7">
        <v>46102</v>
      </c>
      <c r="I121" s="7">
        <v>46109</v>
      </c>
      <c r="J121" s="6" t="s">
        <v>50</v>
      </c>
      <c r="K121" s="6" t="s">
        <v>276</v>
      </c>
      <c r="L121" s="6" t="s">
        <v>28</v>
      </c>
      <c r="M121" s="6">
        <v>94</v>
      </c>
      <c r="N121" s="6" t="s">
        <v>24</v>
      </c>
      <c r="O121" s="6"/>
      <c r="P121" s="10">
        <v>593.5</v>
      </c>
      <c r="Q121" s="11">
        <v>44</v>
      </c>
      <c r="R121" s="9">
        <v>46128.397222222222</v>
      </c>
      <c r="S121" s="7" t="str">
        <f>IF(Shipments[[#This Row],[ATA]]&lt;&gt;"", IF(Shipments[[#This Row],[ATA]]&lt;=Shipments[[#This Row],[ETA]],"On Time","Late"), IF(Shipments[[#This Row],[Status]]="Delivered","On Time","Pending"))</f>
        <v>Late</v>
      </c>
      <c r="T12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1" s="11">
        <f ca="1">IF(Shipments[[#This Row],[ETA]]&lt;&gt;"", Shipments[[#This Row],[ETA]]-TODAY(), "")</f>
        <v>-24</v>
      </c>
      <c r="V121" s="13">
        <f>_xlfn.XLOOKUP(Shipments[[#This Row],[Carrier]], CarrierRef[Carrier], CarrierRef[BaseOnTime], "N/A")</f>
        <v>0.92</v>
      </c>
      <c r="W121" s="7" t="str">
        <f>IF(Shipments[[#This Row],[Allocation Type]]="AppleCare", IF(ISNUMBER(SEARCH("AppleCare", Shipments[[#This Row],[Carrier]])), "Compliant", "Liability Risk"), "Compliant")</f>
        <v>Liability Risk</v>
      </c>
      <c r="X121" s="11">
        <f>ROUND(100 - ((Shipments[[#This Row],[CO₂ Estimate (kg)]]/500)*40) - (Shipments[[#This Row],[RiskScoreCalc]]/3), 0)</f>
        <v>19</v>
      </c>
    </row>
    <row r="122" spans="1:24" x14ac:dyDescent="0.3">
      <c r="A122" s="6" t="s">
        <v>277</v>
      </c>
      <c r="B122" s="6" t="s">
        <v>19</v>
      </c>
      <c r="C122" s="6" t="s">
        <v>20</v>
      </c>
      <c r="D122" s="8">
        <v>46113</v>
      </c>
      <c r="E122" s="8">
        <v>46116</v>
      </c>
      <c r="F122" s="8">
        <v>46127</v>
      </c>
      <c r="G122" s="7">
        <v>46113.291666666664</v>
      </c>
      <c r="H122" s="7">
        <v>46116.666666666664</v>
      </c>
      <c r="I122" s="7">
        <v>46126.958333333336</v>
      </c>
      <c r="J122" s="6" t="s">
        <v>26</v>
      </c>
      <c r="K122" s="6" t="s">
        <v>278</v>
      </c>
      <c r="L122" s="6" t="s">
        <v>28</v>
      </c>
      <c r="M122" s="6">
        <v>73</v>
      </c>
      <c r="N122" s="6" t="s">
        <v>24</v>
      </c>
      <c r="O122" s="6"/>
      <c r="P122" s="10">
        <v>285.89999999999998</v>
      </c>
      <c r="Q122" s="11">
        <v>42</v>
      </c>
      <c r="R122" s="9">
        <v>46126.980555555558</v>
      </c>
      <c r="S122" s="7" t="str">
        <f>IF(Shipments[[#This Row],[ATA]]&lt;&gt;"", IF(Shipments[[#This Row],[ATA]]&lt;=Shipments[[#This Row],[ETA]],"On Time","Late"), IF(Shipments[[#This Row],[Status]]="Delivered","On Time","Pending"))</f>
        <v>On Time</v>
      </c>
      <c r="T12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2" s="11">
        <f ca="1">IF(Shipments[[#This Row],[ETA]]&lt;&gt;"", Shipments[[#This Row],[ETA]]-TODAY(), "")</f>
        <v>-2</v>
      </c>
      <c r="V122" s="13">
        <f>_xlfn.XLOOKUP(Shipments[[#This Row],[Carrier]], CarrierRef[Carrier], CarrierRef[BaseOnTime], "N/A")</f>
        <v>0.91</v>
      </c>
      <c r="W122" s="7" t="str">
        <f>IF(Shipments[[#This Row],[Allocation Type]]="AppleCare", IF(ISNUMBER(SEARCH("AppleCare", Shipments[[#This Row],[Carrier]])), "Compliant", "Liability Risk"), "Compliant")</f>
        <v>Liability Risk</v>
      </c>
      <c r="X122" s="11">
        <f>ROUND(100 - ((Shipments[[#This Row],[CO₂ Estimate (kg)]]/500)*40) - (Shipments[[#This Row],[RiskScoreCalc]]/3), 0)</f>
        <v>44</v>
      </c>
    </row>
    <row r="123" spans="1:24" x14ac:dyDescent="0.3">
      <c r="A123" s="6" t="s">
        <v>279</v>
      </c>
      <c r="B123" s="6" t="s">
        <v>39</v>
      </c>
      <c r="C123" s="6" t="s">
        <v>20</v>
      </c>
      <c r="D123" s="8">
        <v>46100</v>
      </c>
      <c r="E123" s="8">
        <v>46102</v>
      </c>
      <c r="F123" s="8">
        <v>46111</v>
      </c>
      <c r="G123" s="7">
        <v>46099.708333333336</v>
      </c>
      <c r="H123" s="6"/>
      <c r="I123" s="7">
        <v>46112.75</v>
      </c>
      <c r="J123" s="6" t="s">
        <v>45</v>
      </c>
      <c r="K123" s="6" t="s">
        <v>280</v>
      </c>
      <c r="L123" s="6" t="s">
        <v>23</v>
      </c>
      <c r="M123" s="6">
        <v>89</v>
      </c>
      <c r="N123" s="6" t="s">
        <v>24</v>
      </c>
      <c r="O123" s="6"/>
      <c r="P123" s="10">
        <v>269.5</v>
      </c>
      <c r="Q123" s="11">
        <v>23</v>
      </c>
      <c r="R123" s="9">
        <v>46127.855555555558</v>
      </c>
      <c r="S123" s="7" t="str">
        <f>IF(Shipments[[#This Row],[ATA]]&lt;&gt;"", IF(Shipments[[#This Row],[ATA]]&lt;=Shipments[[#This Row],[ETA]],"On Time","Late"), IF(Shipments[[#This Row],[Status]]="Delivered","On Time","Pending"))</f>
        <v>Late</v>
      </c>
      <c r="T12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3" s="11">
        <f ca="1">IF(Shipments[[#This Row],[ETA]]&lt;&gt;"", Shipments[[#This Row],[ETA]]-TODAY(), "")</f>
        <v>-18</v>
      </c>
      <c r="V123" s="13">
        <f>_xlfn.XLOOKUP(Shipments[[#This Row],[Carrier]], CarrierRef[Carrier], CarrierRef[BaseOnTime], "N/A")</f>
        <v>0.87</v>
      </c>
      <c r="W123" s="7" t="str">
        <f>IF(Shipments[[#This Row],[Allocation Type]]="AppleCare", IF(ISNUMBER(SEARCH("AppleCare", Shipments[[#This Row],[Carrier]])), "Compliant", "Liability Risk"), "Compliant")</f>
        <v>Compliant</v>
      </c>
      <c r="X123" s="11">
        <f>ROUND(100 - ((Shipments[[#This Row],[CO₂ Estimate (kg)]]/500)*40) - (Shipments[[#This Row],[RiskScoreCalc]]/3), 0)</f>
        <v>45</v>
      </c>
    </row>
    <row r="124" spans="1:24" x14ac:dyDescent="0.3">
      <c r="A124" s="6" t="s">
        <v>281</v>
      </c>
      <c r="B124" s="6" t="s">
        <v>58</v>
      </c>
      <c r="C124" s="6" t="s">
        <v>20</v>
      </c>
      <c r="D124" s="8">
        <v>46103</v>
      </c>
      <c r="E124" s="8">
        <v>46105</v>
      </c>
      <c r="F124" s="8">
        <v>46115</v>
      </c>
      <c r="G124" s="7">
        <v>46102.5</v>
      </c>
      <c r="H124" s="7">
        <v>46105.208333333336</v>
      </c>
      <c r="I124" s="7">
        <v>46116.958333333336</v>
      </c>
      <c r="J124" s="6" t="s">
        <v>26</v>
      </c>
      <c r="K124" s="6" t="s">
        <v>282</v>
      </c>
      <c r="L124" s="6" t="s">
        <v>23</v>
      </c>
      <c r="M124" s="6">
        <v>-18</v>
      </c>
      <c r="N124" s="6" t="s">
        <v>24</v>
      </c>
      <c r="O124" s="6"/>
      <c r="P124" s="10">
        <v>534.5</v>
      </c>
      <c r="Q124" s="11">
        <v>54</v>
      </c>
      <c r="R124" s="9">
        <v>46128.230555555558</v>
      </c>
      <c r="S124" s="7" t="str">
        <f>IF(Shipments[[#This Row],[ATA]]&lt;&gt;"", IF(Shipments[[#This Row],[ATA]]&lt;=Shipments[[#This Row],[ETA]],"On Time","Late"), IF(Shipments[[#This Row],[Status]]="Delivered","On Time","Pending"))</f>
        <v>Late</v>
      </c>
      <c r="T12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114.4</v>
      </c>
      <c r="U124" s="11">
        <f ca="1">IF(Shipments[[#This Row],[ETA]]&lt;&gt;"", Shipments[[#This Row],[ETA]]-TODAY(), "")</f>
        <v>-14</v>
      </c>
      <c r="V124" s="13">
        <f>_xlfn.XLOOKUP(Shipments[[#This Row],[Carrier]], CarrierRef[Carrier], CarrierRef[BaseOnTime], "N/A")</f>
        <v>0.91</v>
      </c>
      <c r="W124" s="7" t="str">
        <f>IF(Shipments[[#This Row],[Allocation Type]]="AppleCare", IF(ISNUMBER(SEARCH("AppleCare", Shipments[[#This Row],[Carrier]])), "Compliant", "Liability Risk"), "Compliant")</f>
        <v>Compliant</v>
      </c>
      <c r="X124" s="11">
        <f>ROUND(100 - ((Shipments[[#This Row],[CO₂ Estimate (kg)]]/500)*40) - (Shipments[[#This Row],[RiskScoreCalc]]/3), 0)</f>
        <v>19</v>
      </c>
    </row>
    <row r="125" spans="1:24" x14ac:dyDescent="0.3">
      <c r="A125" s="6" t="s">
        <v>283</v>
      </c>
      <c r="B125" s="6" t="s">
        <v>30</v>
      </c>
      <c r="C125" s="6" t="s">
        <v>20</v>
      </c>
      <c r="D125" s="8">
        <v>46105</v>
      </c>
      <c r="E125" s="8">
        <v>46108</v>
      </c>
      <c r="F125" s="8">
        <v>46117</v>
      </c>
      <c r="G125" s="7">
        <v>46105.833333333336</v>
      </c>
      <c r="H125" s="7">
        <v>46108.958333333336</v>
      </c>
      <c r="I125" s="7">
        <v>46117.708333333336</v>
      </c>
      <c r="J125" s="6" t="s">
        <v>34</v>
      </c>
      <c r="K125" s="6" t="s">
        <v>284</v>
      </c>
      <c r="L125" s="6" t="s">
        <v>28</v>
      </c>
      <c r="M125" s="6">
        <v>72</v>
      </c>
      <c r="N125" s="6" t="s">
        <v>24</v>
      </c>
      <c r="O125" s="6"/>
      <c r="P125" s="10">
        <v>330.5</v>
      </c>
      <c r="Q125" s="11">
        <v>21</v>
      </c>
      <c r="R125" s="9">
        <v>46127.897222222222</v>
      </c>
      <c r="S125" s="7" t="str">
        <f>IF(Shipments[[#This Row],[ATA]]&lt;&gt;"", IF(Shipments[[#This Row],[ATA]]&lt;=Shipments[[#This Row],[ETA]],"On Time","Late"), IF(Shipments[[#This Row],[Status]]="Delivered","On Time","Pending"))</f>
        <v>Late</v>
      </c>
      <c r="T12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5" s="11">
        <f ca="1">IF(Shipments[[#This Row],[ETA]]&lt;&gt;"", Shipments[[#This Row],[ETA]]-TODAY(), "")</f>
        <v>-12</v>
      </c>
      <c r="V125" s="13">
        <f>_xlfn.XLOOKUP(Shipments[[#This Row],[Carrier]], CarrierRef[Carrier], CarrierRef[BaseOnTime], "N/A")</f>
        <v>0.89</v>
      </c>
      <c r="W125" s="7" t="str">
        <f>IF(Shipments[[#This Row],[Allocation Type]]="AppleCare", IF(ISNUMBER(SEARCH("AppleCare", Shipments[[#This Row],[Carrier]])), "Compliant", "Liability Risk"), "Compliant")</f>
        <v>Liability Risk</v>
      </c>
      <c r="X125" s="11">
        <f>ROUND(100 - ((Shipments[[#This Row],[CO₂ Estimate (kg)]]/500)*40) - (Shipments[[#This Row],[RiskScoreCalc]]/3), 0)</f>
        <v>40</v>
      </c>
    </row>
    <row r="126" spans="1:24" x14ac:dyDescent="0.3">
      <c r="A126" s="6" t="s">
        <v>285</v>
      </c>
      <c r="B126" s="6" t="s">
        <v>63</v>
      </c>
      <c r="C126" s="6" t="s">
        <v>20</v>
      </c>
      <c r="D126" s="8">
        <v>46105</v>
      </c>
      <c r="E126" s="8">
        <v>46109</v>
      </c>
      <c r="F126" s="8">
        <v>46118</v>
      </c>
      <c r="G126" s="7">
        <v>46105.375</v>
      </c>
      <c r="H126" s="7">
        <v>46109.25</v>
      </c>
      <c r="I126" s="7">
        <v>46118.5</v>
      </c>
      <c r="J126" s="6" t="s">
        <v>21</v>
      </c>
      <c r="K126" s="6" t="s">
        <v>286</v>
      </c>
      <c r="L126" s="6" t="s">
        <v>28</v>
      </c>
      <c r="M126" s="6">
        <v>14</v>
      </c>
      <c r="N126" s="6" t="s">
        <v>24</v>
      </c>
      <c r="O126" s="6"/>
      <c r="P126" s="10">
        <v>487.7</v>
      </c>
      <c r="Q126" s="11">
        <v>36</v>
      </c>
      <c r="R126" s="9">
        <v>46127.980555555558</v>
      </c>
      <c r="S126" s="7" t="str">
        <f>IF(Shipments[[#This Row],[ATA]]&lt;&gt;"", IF(Shipments[[#This Row],[ATA]]&lt;=Shipments[[#This Row],[ETA]],"On Time","Late"), IF(Shipments[[#This Row],[Status]]="Delivered","On Time","Pending"))</f>
        <v>Late</v>
      </c>
      <c r="T12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6" s="11">
        <f ca="1">IF(Shipments[[#This Row],[ETA]]&lt;&gt;"", Shipments[[#This Row],[ETA]]-TODAY(), "")</f>
        <v>-11</v>
      </c>
      <c r="V126" s="13">
        <f>_xlfn.XLOOKUP(Shipments[[#This Row],[Carrier]], CarrierRef[Carrier], CarrierRef[BaseOnTime], "N/A")</f>
        <v>0.94</v>
      </c>
      <c r="W126" s="7" t="str">
        <f>IF(Shipments[[#This Row],[Allocation Type]]="AppleCare", IF(ISNUMBER(SEARCH("AppleCare", Shipments[[#This Row],[Carrier]])), "Compliant", "Liability Risk"), "Compliant")</f>
        <v>Liability Risk</v>
      </c>
      <c r="X126" s="11">
        <f>ROUND(100 - ((Shipments[[#This Row],[CO₂ Estimate (kg)]]/500)*40) - (Shipments[[#This Row],[RiskScoreCalc]]/3), 0)</f>
        <v>28</v>
      </c>
    </row>
    <row r="127" spans="1:24" x14ac:dyDescent="0.3">
      <c r="A127" s="6" t="s">
        <v>287</v>
      </c>
      <c r="B127" s="6" t="s">
        <v>19</v>
      </c>
      <c r="C127" s="6" t="s">
        <v>20</v>
      </c>
      <c r="D127" s="8">
        <v>46093</v>
      </c>
      <c r="E127" s="8">
        <v>46096</v>
      </c>
      <c r="F127" s="8">
        <v>46103</v>
      </c>
      <c r="G127" s="7">
        <v>46093.916666666664</v>
      </c>
      <c r="H127" s="7">
        <v>46096.958333333336</v>
      </c>
      <c r="I127" s="7">
        <v>46102.958333333336</v>
      </c>
      <c r="J127" s="6" t="s">
        <v>34</v>
      </c>
      <c r="K127" s="6" t="s">
        <v>288</v>
      </c>
      <c r="L127" s="6" t="s">
        <v>28</v>
      </c>
      <c r="M127" s="6">
        <v>90</v>
      </c>
      <c r="N127" s="6" t="s">
        <v>24</v>
      </c>
      <c r="O127" s="6"/>
      <c r="P127" s="10">
        <v>629.9</v>
      </c>
      <c r="Q127" s="11">
        <v>31</v>
      </c>
      <c r="R127" s="9">
        <v>46128.772222222222</v>
      </c>
      <c r="S127" s="7" t="str">
        <f>IF(Shipments[[#This Row],[ATA]]&lt;&gt;"", IF(Shipments[[#This Row],[ATA]]&lt;=Shipments[[#This Row],[ETA]],"On Time","Late"), IF(Shipments[[#This Row],[Status]]="Delivered","On Time","Pending"))</f>
        <v>On Time</v>
      </c>
      <c r="T12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7" s="11">
        <f ca="1">IF(Shipments[[#This Row],[ETA]]&lt;&gt;"", Shipments[[#This Row],[ETA]]-TODAY(), "")</f>
        <v>-26</v>
      </c>
      <c r="V127" s="13">
        <f>_xlfn.XLOOKUP(Shipments[[#This Row],[Carrier]], CarrierRef[Carrier], CarrierRef[BaseOnTime], "N/A")</f>
        <v>0.89</v>
      </c>
      <c r="W127" s="7" t="str">
        <f>IF(Shipments[[#This Row],[Allocation Type]]="AppleCare", IF(ISNUMBER(SEARCH("AppleCare", Shipments[[#This Row],[Carrier]])), "Compliant", "Liability Risk"), "Compliant")</f>
        <v>Liability Risk</v>
      </c>
      <c r="X127" s="11">
        <f>ROUND(100 - ((Shipments[[#This Row],[CO₂ Estimate (kg)]]/500)*40) - (Shipments[[#This Row],[RiskScoreCalc]]/3), 0)</f>
        <v>16</v>
      </c>
    </row>
    <row r="128" spans="1:24" x14ac:dyDescent="0.3">
      <c r="A128" s="6" t="s">
        <v>289</v>
      </c>
      <c r="B128" s="6" t="s">
        <v>39</v>
      </c>
      <c r="C128" s="6" t="s">
        <v>20</v>
      </c>
      <c r="D128" s="8">
        <v>46090</v>
      </c>
      <c r="E128" s="8">
        <v>46092</v>
      </c>
      <c r="F128" s="8">
        <v>46097</v>
      </c>
      <c r="G128" s="6"/>
      <c r="H128" s="7">
        <v>46092.625</v>
      </c>
      <c r="I128" s="7">
        <v>46096.625</v>
      </c>
      <c r="J128" s="6" t="s">
        <v>40</v>
      </c>
      <c r="K128" s="6" t="s">
        <v>290</v>
      </c>
      <c r="L128" s="6" t="s">
        <v>23</v>
      </c>
      <c r="M128" s="6">
        <v>109</v>
      </c>
      <c r="N128" s="6" t="s">
        <v>24</v>
      </c>
      <c r="O128" s="6"/>
      <c r="P128" s="10">
        <v>489.9</v>
      </c>
      <c r="Q128" s="11">
        <v>15</v>
      </c>
      <c r="R128" s="9">
        <v>46128.855555555558</v>
      </c>
      <c r="S128" s="7" t="str">
        <f>IF(Shipments[[#This Row],[ATA]]&lt;&gt;"", IF(Shipments[[#This Row],[ATA]]&lt;=Shipments[[#This Row],[ETA]],"On Time","Late"), IF(Shipments[[#This Row],[Status]]="Delivered","On Time","Pending"))</f>
        <v>On Time</v>
      </c>
      <c r="T12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8" s="11">
        <f ca="1">IF(Shipments[[#This Row],[ETA]]&lt;&gt;"", Shipments[[#This Row],[ETA]]-TODAY(), "")</f>
        <v>-32</v>
      </c>
      <c r="V128" s="13">
        <f>_xlfn.XLOOKUP(Shipments[[#This Row],[Carrier]], CarrierRef[Carrier], CarrierRef[BaseOnTime], "N/A")</f>
        <v>0.93</v>
      </c>
      <c r="W128" s="7" t="str">
        <f>IF(Shipments[[#This Row],[Allocation Type]]="AppleCare", IF(ISNUMBER(SEARCH("AppleCare", Shipments[[#This Row],[Carrier]])), "Compliant", "Liability Risk"), "Compliant")</f>
        <v>Compliant</v>
      </c>
      <c r="X128" s="11">
        <f>ROUND(100 - ((Shipments[[#This Row],[CO₂ Estimate (kg)]]/500)*40) - (Shipments[[#This Row],[RiskScoreCalc]]/3), 0)</f>
        <v>27</v>
      </c>
    </row>
    <row r="129" spans="1:24" x14ac:dyDescent="0.3">
      <c r="A129" s="6" t="s">
        <v>291</v>
      </c>
      <c r="B129" s="6" t="s">
        <v>58</v>
      </c>
      <c r="C129" s="6" t="s">
        <v>20</v>
      </c>
      <c r="D129" s="8">
        <v>46104</v>
      </c>
      <c r="E129" s="8">
        <v>46108</v>
      </c>
      <c r="F129" s="8">
        <v>46115</v>
      </c>
      <c r="G129" s="7">
        <v>46103.75</v>
      </c>
      <c r="H129" s="7">
        <v>46109.041666666664</v>
      </c>
      <c r="I129" s="7">
        <v>46114.875</v>
      </c>
      <c r="J129" s="6" t="s">
        <v>50</v>
      </c>
      <c r="K129" s="6" t="s">
        <v>292</v>
      </c>
      <c r="L129" s="6" t="s">
        <v>23</v>
      </c>
      <c r="M129" s="6">
        <v>110</v>
      </c>
      <c r="N129" s="6" t="s">
        <v>24</v>
      </c>
      <c r="O129" s="6"/>
      <c r="P129" s="10">
        <v>563.20000000000005</v>
      </c>
      <c r="Q129" s="11">
        <v>23</v>
      </c>
      <c r="R129" s="9">
        <v>46127.813888888886</v>
      </c>
      <c r="S129" s="7" t="str">
        <f>IF(Shipments[[#This Row],[ATA]]&lt;&gt;"", IF(Shipments[[#This Row],[ATA]]&lt;=Shipments[[#This Row],[ETA]],"On Time","Late"), IF(Shipments[[#This Row],[Status]]="Delivered","On Time","Pending"))</f>
        <v>On Time</v>
      </c>
      <c r="T12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29" s="11">
        <f ca="1">IF(Shipments[[#This Row],[ETA]]&lt;&gt;"", Shipments[[#This Row],[ETA]]-TODAY(), "")</f>
        <v>-14</v>
      </c>
      <c r="V129" s="13">
        <f>_xlfn.XLOOKUP(Shipments[[#This Row],[Carrier]], CarrierRef[Carrier], CarrierRef[BaseOnTime], "N/A")</f>
        <v>0.92</v>
      </c>
      <c r="W129" s="7" t="str">
        <f>IF(Shipments[[#This Row],[Allocation Type]]="AppleCare", IF(ISNUMBER(SEARCH("AppleCare", Shipments[[#This Row],[Carrier]])), "Compliant", "Liability Risk"), "Compliant")</f>
        <v>Compliant</v>
      </c>
      <c r="X129" s="11">
        <f>ROUND(100 - ((Shipments[[#This Row],[CO₂ Estimate (kg)]]/500)*40) - (Shipments[[#This Row],[RiskScoreCalc]]/3), 0)</f>
        <v>22</v>
      </c>
    </row>
    <row r="130" spans="1:24" x14ac:dyDescent="0.3">
      <c r="A130" s="6" t="s">
        <v>293</v>
      </c>
      <c r="B130" s="6" t="s">
        <v>19</v>
      </c>
      <c r="C130" s="6" t="s">
        <v>20</v>
      </c>
      <c r="D130" s="8">
        <v>46109</v>
      </c>
      <c r="E130" s="8">
        <v>46110</v>
      </c>
      <c r="F130" s="8">
        <v>46115</v>
      </c>
      <c r="G130" s="7">
        <v>46109.5</v>
      </c>
      <c r="H130" s="7">
        <v>46110.666666666664</v>
      </c>
      <c r="I130" s="7">
        <v>46115.958333333336</v>
      </c>
      <c r="J130" s="6" t="s">
        <v>40</v>
      </c>
      <c r="K130" s="6" t="s">
        <v>294</v>
      </c>
      <c r="L130" s="6" t="s">
        <v>28</v>
      </c>
      <c r="M130" s="6">
        <v>115</v>
      </c>
      <c r="N130" s="6" t="s">
        <v>52</v>
      </c>
      <c r="O130" s="6" t="s">
        <v>85</v>
      </c>
      <c r="P130" s="10">
        <v>218.9</v>
      </c>
      <c r="Q130" s="11">
        <v>67</v>
      </c>
      <c r="R130" s="9">
        <v>46127.730555555558</v>
      </c>
      <c r="S130" s="7" t="str">
        <f>IF(Shipments[[#This Row],[ATA]]&lt;&gt;"", IF(Shipments[[#This Row],[ATA]]&lt;=Shipments[[#This Row],[ETA]],"On Time","Late"), IF(Shipments[[#This Row],[Status]]="Delivered","On Time","Pending"))</f>
        <v>Late</v>
      </c>
      <c r="T13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130" s="11">
        <f ca="1">IF(Shipments[[#This Row],[ETA]]&lt;&gt;"", Shipments[[#This Row],[ETA]]-TODAY(), "")</f>
        <v>-14</v>
      </c>
      <c r="V130" s="13">
        <f>_xlfn.XLOOKUP(Shipments[[#This Row],[Carrier]], CarrierRef[Carrier], CarrierRef[BaseOnTime], "N/A")</f>
        <v>0.93</v>
      </c>
      <c r="W130" s="7" t="str">
        <f>IF(Shipments[[#This Row],[Allocation Type]]="AppleCare", IF(ISNUMBER(SEARCH("AppleCare", Shipments[[#This Row],[Carrier]])), "Compliant", "Liability Risk"), "Compliant")</f>
        <v>Liability Risk</v>
      </c>
      <c r="X130" s="11">
        <f>ROUND(100 - ((Shipments[[#This Row],[CO₂ Estimate (kg)]]/500)*40) - (Shipments[[#This Row],[RiskScoreCalc]]/3), 0)</f>
        <v>37</v>
      </c>
    </row>
    <row r="131" spans="1:24" x14ac:dyDescent="0.3">
      <c r="A131" s="6" t="s">
        <v>295</v>
      </c>
      <c r="B131" s="6" t="s">
        <v>58</v>
      </c>
      <c r="C131" s="6" t="s">
        <v>20</v>
      </c>
      <c r="D131" s="8">
        <v>46094</v>
      </c>
      <c r="E131" s="8">
        <v>46098</v>
      </c>
      <c r="F131" s="8">
        <v>46107</v>
      </c>
      <c r="G131" s="7">
        <v>46093.666666666664</v>
      </c>
      <c r="H131" s="7">
        <v>46099.458333333336</v>
      </c>
      <c r="I131" s="7">
        <v>46108.958333333336</v>
      </c>
      <c r="J131" s="6" t="s">
        <v>21</v>
      </c>
      <c r="K131" s="6" t="s">
        <v>296</v>
      </c>
      <c r="L131" s="6" t="s">
        <v>23</v>
      </c>
      <c r="M131" s="6">
        <v>91</v>
      </c>
      <c r="N131" s="6" t="s">
        <v>24</v>
      </c>
      <c r="O131" s="6"/>
      <c r="P131" s="10">
        <v>195.5</v>
      </c>
      <c r="Q131" s="11">
        <v>44</v>
      </c>
      <c r="R131" s="9">
        <v>46128.022222222222</v>
      </c>
      <c r="S131" s="7" t="str">
        <f>IF(Shipments[[#This Row],[ATA]]&lt;&gt;"", IF(Shipments[[#This Row],[ATA]]&lt;=Shipments[[#This Row],[ETA]],"On Time","Late"), IF(Shipments[[#This Row],[Status]]="Delivered","On Time","Pending"))</f>
        <v>Late</v>
      </c>
      <c r="T13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1" s="11">
        <f ca="1">IF(Shipments[[#This Row],[ETA]]&lt;&gt;"", Shipments[[#This Row],[ETA]]-TODAY(), "")</f>
        <v>-22</v>
      </c>
      <c r="V131" s="13">
        <f>_xlfn.XLOOKUP(Shipments[[#This Row],[Carrier]], CarrierRef[Carrier], CarrierRef[BaseOnTime], "N/A")</f>
        <v>0.94</v>
      </c>
      <c r="W131" s="7" t="str">
        <f>IF(Shipments[[#This Row],[Allocation Type]]="AppleCare", IF(ISNUMBER(SEARCH("AppleCare", Shipments[[#This Row],[Carrier]])), "Compliant", "Liability Risk"), "Compliant")</f>
        <v>Compliant</v>
      </c>
      <c r="X131" s="11">
        <f>ROUND(100 - ((Shipments[[#This Row],[CO₂ Estimate (kg)]]/500)*40) - (Shipments[[#This Row],[RiskScoreCalc]]/3), 0)</f>
        <v>51</v>
      </c>
    </row>
    <row r="132" spans="1:24" x14ac:dyDescent="0.3">
      <c r="A132" s="6" t="s">
        <v>297</v>
      </c>
      <c r="B132" s="6" t="s">
        <v>19</v>
      </c>
      <c r="C132" s="6" t="s">
        <v>20</v>
      </c>
      <c r="D132" s="8">
        <v>46097</v>
      </c>
      <c r="E132" s="8">
        <v>46099</v>
      </c>
      <c r="F132" s="8">
        <v>46107</v>
      </c>
      <c r="G132" s="7">
        <v>46097.5</v>
      </c>
      <c r="H132" s="6"/>
      <c r="I132" s="7">
        <v>46108.875</v>
      </c>
      <c r="J132" s="6" t="s">
        <v>34</v>
      </c>
      <c r="K132" s="6" t="s">
        <v>298</v>
      </c>
      <c r="L132" s="6" t="s">
        <v>23</v>
      </c>
      <c r="M132" s="6">
        <v>50</v>
      </c>
      <c r="N132" s="6" t="s">
        <v>24</v>
      </c>
      <c r="O132" s="6"/>
      <c r="P132" s="10">
        <v>245.8</v>
      </c>
      <c r="Q132" s="11">
        <v>37</v>
      </c>
      <c r="R132" s="9">
        <v>46126.938888888886</v>
      </c>
      <c r="S132" s="7" t="str">
        <f>IF(Shipments[[#This Row],[ATA]]&lt;&gt;"", IF(Shipments[[#This Row],[ATA]]&lt;=Shipments[[#This Row],[ETA]],"On Time","Late"), IF(Shipments[[#This Row],[Status]]="Delivered","On Time","Pending"))</f>
        <v>Late</v>
      </c>
      <c r="T13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2" s="11">
        <f ca="1">IF(Shipments[[#This Row],[ETA]]&lt;&gt;"", Shipments[[#This Row],[ETA]]-TODAY(), "")</f>
        <v>-22</v>
      </c>
      <c r="V132" s="13">
        <f>_xlfn.XLOOKUP(Shipments[[#This Row],[Carrier]], CarrierRef[Carrier], CarrierRef[BaseOnTime], "N/A")</f>
        <v>0.89</v>
      </c>
      <c r="W132" s="7" t="str">
        <f>IF(Shipments[[#This Row],[Allocation Type]]="AppleCare", IF(ISNUMBER(SEARCH("AppleCare", Shipments[[#This Row],[Carrier]])), "Compliant", "Liability Risk"), "Compliant")</f>
        <v>Compliant</v>
      </c>
      <c r="X132" s="11">
        <f>ROUND(100 - ((Shipments[[#This Row],[CO₂ Estimate (kg)]]/500)*40) - (Shipments[[#This Row],[RiskScoreCalc]]/3), 0)</f>
        <v>47</v>
      </c>
    </row>
    <row r="133" spans="1:24" x14ac:dyDescent="0.3">
      <c r="A133" s="6" t="s">
        <v>299</v>
      </c>
      <c r="B133" s="6" t="s">
        <v>39</v>
      </c>
      <c r="C133" s="6" t="s">
        <v>20</v>
      </c>
      <c r="D133" s="8">
        <v>46098</v>
      </c>
      <c r="E133" s="8">
        <v>46102</v>
      </c>
      <c r="F133" s="8">
        <v>46112</v>
      </c>
      <c r="G133" s="7">
        <v>46098.208333333336</v>
      </c>
      <c r="H133" s="7">
        <v>46102.833333333336</v>
      </c>
      <c r="I133" s="7">
        <v>46112.791666666664</v>
      </c>
      <c r="J133" s="6" t="s">
        <v>40</v>
      </c>
      <c r="K133" s="6" t="s">
        <v>300</v>
      </c>
      <c r="L133" s="6" t="s">
        <v>23</v>
      </c>
      <c r="M133" s="6">
        <v>93</v>
      </c>
      <c r="N133" s="6" t="s">
        <v>24</v>
      </c>
      <c r="O133" s="6"/>
      <c r="P133" s="10">
        <v>383</v>
      </c>
      <c r="Q133" s="11">
        <v>36</v>
      </c>
      <c r="R133" s="9">
        <v>46127.313888888886</v>
      </c>
      <c r="S133" s="7" t="str">
        <f>IF(Shipments[[#This Row],[ATA]]&lt;&gt;"", IF(Shipments[[#This Row],[ATA]]&lt;=Shipments[[#This Row],[ETA]],"On Time","Late"), IF(Shipments[[#This Row],[Status]]="Delivered","On Time","Pending"))</f>
        <v>Late</v>
      </c>
      <c r="T13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3" s="11">
        <f ca="1">IF(Shipments[[#This Row],[ETA]]&lt;&gt;"", Shipments[[#This Row],[ETA]]-TODAY(), "")</f>
        <v>-17</v>
      </c>
      <c r="V133" s="13">
        <f>_xlfn.XLOOKUP(Shipments[[#This Row],[Carrier]], CarrierRef[Carrier], CarrierRef[BaseOnTime], "N/A")</f>
        <v>0.93</v>
      </c>
      <c r="W133" s="7" t="str">
        <f>IF(Shipments[[#This Row],[Allocation Type]]="AppleCare", IF(ISNUMBER(SEARCH("AppleCare", Shipments[[#This Row],[Carrier]])), "Compliant", "Liability Risk"), "Compliant")</f>
        <v>Compliant</v>
      </c>
      <c r="X133" s="11">
        <f>ROUND(100 - ((Shipments[[#This Row],[CO₂ Estimate (kg)]]/500)*40) - (Shipments[[#This Row],[RiskScoreCalc]]/3), 0)</f>
        <v>36</v>
      </c>
    </row>
    <row r="134" spans="1:24" x14ac:dyDescent="0.3">
      <c r="A134" s="6" t="s">
        <v>301</v>
      </c>
      <c r="B134" s="6" t="s">
        <v>19</v>
      </c>
      <c r="C134" s="6" t="s">
        <v>20</v>
      </c>
      <c r="D134" s="8">
        <v>46096</v>
      </c>
      <c r="E134" s="8">
        <v>46098</v>
      </c>
      <c r="F134" s="8">
        <v>46109</v>
      </c>
      <c r="G134" s="7">
        <v>46097</v>
      </c>
      <c r="H134" s="7">
        <v>46102</v>
      </c>
      <c r="I134" s="7">
        <v>46113</v>
      </c>
      <c r="J134" s="6" t="s">
        <v>21</v>
      </c>
      <c r="K134" s="6" t="s">
        <v>302</v>
      </c>
      <c r="L134" s="6" t="s">
        <v>23</v>
      </c>
      <c r="M134" s="6">
        <v>-25</v>
      </c>
      <c r="N134" s="6" t="s">
        <v>52</v>
      </c>
      <c r="O134" s="6" t="s">
        <v>120</v>
      </c>
      <c r="P134" s="10">
        <v>389</v>
      </c>
      <c r="Q134" s="11">
        <v>79</v>
      </c>
      <c r="R134" s="9">
        <v>46128.147222222222</v>
      </c>
      <c r="S134" s="7" t="str">
        <f>IF(Shipments[[#This Row],[ATA]]&lt;&gt;"", IF(Shipments[[#This Row],[ATA]]&lt;=Shipments[[#This Row],[ETA]],"On Time","Late"), IF(Shipments[[#This Row],[Status]]="Delivered","On Time","Pending"))</f>
        <v>Late</v>
      </c>
      <c r="T13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155</v>
      </c>
      <c r="U134" s="11">
        <f ca="1">IF(Shipments[[#This Row],[ETA]]&lt;&gt;"", Shipments[[#This Row],[ETA]]-TODAY(), "")</f>
        <v>-20</v>
      </c>
      <c r="V134" s="13">
        <f>_xlfn.XLOOKUP(Shipments[[#This Row],[Carrier]], CarrierRef[Carrier], CarrierRef[BaseOnTime], "N/A")</f>
        <v>0.94</v>
      </c>
      <c r="W134" s="7" t="str">
        <f>IF(Shipments[[#This Row],[Allocation Type]]="AppleCare", IF(ISNUMBER(SEARCH("AppleCare", Shipments[[#This Row],[Carrier]])), "Compliant", "Liability Risk"), "Compliant")</f>
        <v>Compliant</v>
      </c>
      <c r="X134" s="11">
        <f>ROUND(100 - ((Shipments[[#This Row],[CO₂ Estimate (kg)]]/500)*40) - (Shipments[[#This Row],[RiskScoreCalc]]/3), 0)</f>
        <v>17</v>
      </c>
    </row>
    <row r="135" spans="1:24" x14ac:dyDescent="0.3">
      <c r="A135" s="6" t="s">
        <v>303</v>
      </c>
      <c r="B135" s="6" t="s">
        <v>58</v>
      </c>
      <c r="C135" s="6" t="s">
        <v>20</v>
      </c>
      <c r="D135" s="8">
        <v>46091</v>
      </c>
      <c r="E135" s="8">
        <v>46092</v>
      </c>
      <c r="F135" s="8">
        <v>46098</v>
      </c>
      <c r="G135" s="7">
        <v>46090.708333333336</v>
      </c>
      <c r="H135" s="7">
        <v>46093.25</v>
      </c>
      <c r="I135" s="7">
        <v>46099.083333333336</v>
      </c>
      <c r="J135" s="6" t="s">
        <v>45</v>
      </c>
      <c r="K135" s="6" t="s">
        <v>136</v>
      </c>
      <c r="L135" s="6" t="s">
        <v>28</v>
      </c>
      <c r="M135" s="6">
        <v>50</v>
      </c>
      <c r="N135" s="6" t="s">
        <v>52</v>
      </c>
      <c r="O135" s="6" t="s">
        <v>157</v>
      </c>
      <c r="P135" s="10">
        <v>362.3</v>
      </c>
      <c r="Q135" s="11">
        <v>42</v>
      </c>
      <c r="R135" s="9">
        <v>46126.938888888886</v>
      </c>
      <c r="S135" s="7" t="str">
        <f>IF(Shipments[[#This Row],[ATA]]&lt;&gt;"", IF(Shipments[[#This Row],[ATA]]&lt;=Shipments[[#This Row],[ETA]],"On Time","Late"), IF(Shipments[[#This Row],[Status]]="Delivered","On Time","Pending"))</f>
        <v>Late</v>
      </c>
      <c r="T13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135" s="11">
        <f ca="1">IF(Shipments[[#This Row],[ETA]]&lt;&gt;"", Shipments[[#This Row],[ETA]]-TODAY(), "")</f>
        <v>-31</v>
      </c>
      <c r="V135" s="13">
        <f>_xlfn.XLOOKUP(Shipments[[#This Row],[Carrier]], CarrierRef[Carrier], CarrierRef[BaseOnTime], "N/A")</f>
        <v>0.87</v>
      </c>
      <c r="W135" s="7" t="str">
        <f>IF(Shipments[[#This Row],[Allocation Type]]="AppleCare", IF(ISNUMBER(SEARCH("AppleCare", Shipments[[#This Row],[Carrier]])), "Compliant", "Liability Risk"), "Compliant")</f>
        <v>Liability Risk</v>
      </c>
      <c r="X135" s="11">
        <f>ROUND(100 - ((Shipments[[#This Row],[CO₂ Estimate (kg)]]/500)*40) - (Shipments[[#This Row],[RiskScoreCalc]]/3), 0)</f>
        <v>26</v>
      </c>
    </row>
    <row r="136" spans="1:24" x14ac:dyDescent="0.3">
      <c r="A136" s="6" t="s">
        <v>304</v>
      </c>
      <c r="B136" s="6" t="s">
        <v>63</v>
      </c>
      <c r="C136" s="6" t="s">
        <v>20</v>
      </c>
      <c r="D136" s="8">
        <v>46097</v>
      </c>
      <c r="E136" s="8">
        <v>46100</v>
      </c>
      <c r="F136" s="8">
        <v>46112</v>
      </c>
      <c r="G136" s="7">
        <v>46096.916666666664</v>
      </c>
      <c r="H136" s="7">
        <v>46100.791666666664</v>
      </c>
      <c r="I136" s="7">
        <v>46112.208333333336</v>
      </c>
      <c r="J136" s="6" t="s">
        <v>40</v>
      </c>
      <c r="K136" s="6" t="s">
        <v>305</v>
      </c>
      <c r="L136" s="6" t="s">
        <v>28</v>
      </c>
      <c r="M136" s="6">
        <v>75</v>
      </c>
      <c r="N136" s="6" t="s">
        <v>24</v>
      </c>
      <c r="O136" s="6"/>
      <c r="P136" s="10">
        <v>349.7</v>
      </c>
      <c r="Q136" s="11">
        <v>45</v>
      </c>
      <c r="R136" s="9">
        <v>46128.230555555558</v>
      </c>
      <c r="S136" s="7" t="str">
        <f>IF(Shipments[[#This Row],[ATA]]&lt;&gt;"", IF(Shipments[[#This Row],[ATA]]&lt;=Shipments[[#This Row],[ETA]],"On Time","Late"), IF(Shipments[[#This Row],[Status]]="Delivered","On Time","Pending"))</f>
        <v>Late</v>
      </c>
      <c r="T13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6" s="11">
        <f ca="1">IF(Shipments[[#This Row],[ETA]]&lt;&gt;"", Shipments[[#This Row],[ETA]]-TODAY(), "")</f>
        <v>-17</v>
      </c>
      <c r="V136" s="13">
        <f>_xlfn.XLOOKUP(Shipments[[#This Row],[Carrier]], CarrierRef[Carrier], CarrierRef[BaseOnTime], "N/A")</f>
        <v>0.93</v>
      </c>
      <c r="W136" s="7" t="str">
        <f>IF(Shipments[[#This Row],[Allocation Type]]="AppleCare", IF(ISNUMBER(SEARCH("AppleCare", Shipments[[#This Row],[Carrier]])), "Compliant", "Liability Risk"), "Compliant")</f>
        <v>Liability Risk</v>
      </c>
      <c r="X136" s="11">
        <f>ROUND(100 - ((Shipments[[#This Row],[CO₂ Estimate (kg)]]/500)*40) - (Shipments[[#This Row],[RiskScoreCalc]]/3), 0)</f>
        <v>39</v>
      </c>
    </row>
    <row r="137" spans="1:24" x14ac:dyDescent="0.3">
      <c r="A137" s="6" t="s">
        <v>306</v>
      </c>
      <c r="B137" s="6" t="s">
        <v>63</v>
      </c>
      <c r="C137" s="6" t="s">
        <v>93</v>
      </c>
      <c r="D137" s="8">
        <v>46118</v>
      </c>
      <c r="E137" s="8">
        <v>46122</v>
      </c>
      <c r="F137" s="8">
        <v>46132</v>
      </c>
      <c r="G137" s="7">
        <v>46121</v>
      </c>
      <c r="H137" s="7">
        <v>46125</v>
      </c>
      <c r="I137" s="6"/>
      <c r="J137" s="6" t="s">
        <v>50</v>
      </c>
      <c r="K137" s="6" t="s">
        <v>307</v>
      </c>
      <c r="L137" s="6" t="s">
        <v>23</v>
      </c>
      <c r="M137" s="6">
        <v>104</v>
      </c>
      <c r="N137" s="6" t="s">
        <v>24</v>
      </c>
      <c r="O137" s="6"/>
      <c r="P137" s="10">
        <v>330.7</v>
      </c>
      <c r="Q137" s="11">
        <v>45</v>
      </c>
      <c r="R137" s="9">
        <v>46127.022222222222</v>
      </c>
      <c r="S137" s="7" t="str">
        <f>IF(Shipments[[#This Row],[ATA]]&lt;&gt;"", IF(Shipments[[#This Row],[ATA]]&lt;=Shipments[[#This Row],[ETA]],"On Time","Late"), IF(Shipments[[#This Row],[Status]]="Delivered","On Time","Pending"))</f>
        <v>Pending</v>
      </c>
      <c r="T13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7" s="11">
        <f ca="1">IF(Shipments[[#This Row],[ETA]]&lt;&gt;"", Shipments[[#This Row],[ETA]]-TODAY(), "")</f>
        <v>3</v>
      </c>
      <c r="V137" s="13">
        <f>_xlfn.XLOOKUP(Shipments[[#This Row],[Carrier]], CarrierRef[Carrier], CarrierRef[BaseOnTime], "N/A")</f>
        <v>0.92</v>
      </c>
      <c r="W137" s="7" t="str">
        <f>IF(Shipments[[#This Row],[Allocation Type]]="AppleCare", IF(ISNUMBER(SEARCH("AppleCare", Shipments[[#This Row],[Carrier]])), "Compliant", "Liability Risk"), "Compliant")</f>
        <v>Compliant</v>
      </c>
      <c r="X137" s="11">
        <f>ROUND(100 - ((Shipments[[#This Row],[CO₂ Estimate (kg)]]/500)*40) - (Shipments[[#This Row],[RiskScoreCalc]]/3), 0)</f>
        <v>40</v>
      </c>
    </row>
    <row r="138" spans="1:24" x14ac:dyDescent="0.3">
      <c r="A138" s="6" t="s">
        <v>308</v>
      </c>
      <c r="B138" s="6" t="s">
        <v>30</v>
      </c>
      <c r="C138" s="6" t="s">
        <v>96</v>
      </c>
      <c r="D138" s="8">
        <v>46118</v>
      </c>
      <c r="E138" s="8">
        <v>46120</v>
      </c>
      <c r="F138" s="8">
        <v>46130</v>
      </c>
      <c r="G138" s="7">
        <v>46118.541666666664</v>
      </c>
      <c r="H138" s="7">
        <v>46120.625</v>
      </c>
      <c r="I138" s="6"/>
      <c r="J138" s="6" t="s">
        <v>50</v>
      </c>
      <c r="K138" s="6" t="s">
        <v>309</v>
      </c>
      <c r="L138" s="6" t="s">
        <v>28</v>
      </c>
      <c r="M138" s="6">
        <v>-2</v>
      </c>
      <c r="N138" s="6" t="s">
        <v>24</v>
      </c>
      <c r="O138" s="6"/>
      <c r="P138" s="10">
        <v>438.5</v>
      </c>
      <c r="Q138" s="11">
        <v>91</v>
      </c>
      <c r="R138" s="9">
        <v>46126.938888888886</v>
      </c>
      <c r="S138" s="7" t="str">
        <f>IF(Shipments[[#This Row],[ATA]]&lt;&gt;"", IF(Shipments[[#This Row],[ATA]]&lt;=Shipments[[#This Row],[ETA]],"On Time","Late"), IF(Shipments[[#This Row],[Status]]="Delivered","On Time","Pending"))</f>
        <v>Pending</v>
      </c>
      <c r="T13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101.6</v>
      </c>
      <c r="U138" s="11">
        <f ca="1">IF(Shipments[[#This Row],[ETA]]&lt;&gt;"", Shipments[[#This Row],[ETA]]-TODAY(), "")</f>
        <v>1</v>
      </c>
      <c r="V138" s="13">
        <f>_xlfn.XLOOKUP(Shipments[[#This Row],[Carrier]], CarrierRef[Carrier], CarrierRef[BaseOnTime], "N/A")</f>
        <v>0.92</v>
      </c>
      <c r="W138" s="7" t="str">
        <f>IF(Shipments[[#This Row],[Allocation Type]]="AppleCare", IF(ISNUMBER(SEARCH("AppleCare", Shipments[[#This Row],[Carrier]])), "Compliant", "Liability Risk"), "Compliant")</f>
        <v>Liability Risk</v>
      </c>
      <c r="X138" s="11">
        <f>ROUND(100 - ((Shipments[[#This Row],[CO₂ Estimate (kg)]]/500)*40) - (Shipments[[#This Row],[RiskScoreCalc]]/3), 0)</f>
        <v>31</v>
      </c>
    </row>
    <row r="139" spans="1:24" x14ac:dyDescent="0.3">
      <c r="A139" s="6" t="s">
        <v>310</v>
      </c>
      <c r="B139" s="6" t="s">
        <v>33</v>
      </c>
      <c r="C139" s="6" t="s">
        <v>20</v>
      </c>
      <c r="D139" s="8">
        <v>46092</v>
      </c>
      <c r="E139" s="8">
        <v>46095</v>
      </c>
      <c r="F139" s="8">
        <v>46103</v>
      </c>
      <c r="G139" s="6"/>
      <c r="H139" s="7">
        <v>46095.791666666664</v>
      </c>
      <c r="I139" s="7">
        <v>46104.583333333336</v>
      </c>
      <c r="J139" s="6" t="s">
        <v>34</v>
      </c>
      <c r="K139" s="6" t="s">
        <v>311</v>
      </c>
      <c r="L139" s="6" t="s">
        <v>28</v>
      </c>
      <c r="M139" s="6">
        <v>66</v>
      </c>
      <c r="N139" s="6" t="s">
        <v>24</v>
      </c>
      <c r="O139" s="6"/>
      <c r="P139" s="10">
        <v>405.2</v>
      </c>
      <c r="Q139" s="11">
        <v>27</v>
      </c>
      <c r="R139" s="9">
        <v>46127.438888888886</v>
      </c>
      <c r="S139" s="7" t="str">
        <f>IF(Shipments[[#This Row],[ATA]]&lt;&gt;"", IF(Shipments[[#This Row],[ATA]]&lt;=Shipments[[#This Row],[ETA]],"On Time","Late"), IF(Shipments[[#This Row],[Status]]="Delivered","On Time","Pending"))</f>
        <v>Late</v>
      </c>
      <c r="T13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39" s="11">
        <f ca="1">IF(Shipments[[#This Row],[ETA]]&lt;&gt;"", Shipments[[#This Row],[ETA]]-TODAY(), "")</f>
        <v>-26</v>
      </c>
      <c r="V139" s="13">
        <f>_xlfn.XLOOKUP(Shipments[[#This Row],[Carrier]], CarrierRef[Carrier], CarrierRef[BaseOnTime], "N/A")</f>
        <v>0.89</v>
      </c>
      <c r="W139" s="7" t="str">
        <f>IF(Shipments[[#This Row],[Allocation Type]]="AppleCare", IF(ISNUMBER(SEARCH("AppleCare", Shipments[[#This Row],[Carrier]])), "Compliant", "Liability Risk"), "Compliant")</f>
        <v>Liability Risk</v>
      </c>
      <c r="X139" s="11">
        <f>ROUND(100 - ((Shipments[[#This Row],[CO₂ Estimate (kg)]]/500)*40) - (Shipments[[#This Row],[RiskScoreCalc]]/3), 0)</f>
        <v>34</v>
      </c>
    </row>
    <row r="140" spans="1:24" x14ac:dyDescent="0.3">
      <c r="A140" s="6" t="s">
        <v>312</v>
      </c>
      <c r="B140" s="6" t="s">
        <v>19</v>
      </c>
      <c r="C140" s="6" t="s">
        <v>20</v>
      </c>
      <c r="D140" s="8">
        <v>46091</v>
      </c>
      <c r="E140" s="8">
        <v>46093</v>
      </c>
      <c r="F140" s="8">
        <v>46103</v>
      </c>
      <c r="G140" s="7">
        <v>46090.583333333336</v>
      </c>
      <c r="H140" s="7">
        <v>46094.166666666664</v>
      </c>
      <c r="I140" s="7">
        <v>46104.208333333336</v>
      </c>
      <c r="J140" s="6" t="s">
        <v>45</v>
      </c>
      <c r="K140" s="6" t="s">
        <v>313</v>
      </c>
      <c r="L140" s="6" t="s">
        <v>23</v>
      </c>
      <c r="M140" s="6">
        <v>54</v>
      </c>
      <c r="N140" s="6" t="s">
        <v>24</v>
      </c>
      <c r="O140" s="6"/>
      <c r="P140" s="10">
        <v>335.9</v>
      </c>
      <c r="Q140" s="11">
        <v>40</v>
      </c>
      <c r="R140" s="9">
        <v>46127.730555555558</v>
      </c>
      <c r="S140" s="7" t="str">
        <f>IF(Shipments[[#This Row],[ATA]]&lt;&gt;"", IF(Shipments[[#This Row],[ATA]]&lt;=Shipments[[#This Row],[ETA]],"On Time","Late"), IF(Shipments[[#This Row],[Status]]="Delivered","On Time","Pending"))</f>
        <v>Late</v>
      </c>
      <c r="T14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0" s="11">
        <f ca="1">IF(Shipments[[#This Row],[ETA]]&lt;&gt;"", Shipments[[#This Row],[ETA]]-TODAY(), "")</f>
        <v>-26</v>
      </c>
      <c r="V140" s="13">
        <f>_xlfn.XLOOKUP(Shipments[[#This Row],[Carrier]], CarrierRef[Carrier], CarrierRef[BaseOnTime], "N/A")</f>
        <v>0.87</v>
      </c>
      <c r="W140" s="7" t="str">
        <f>IF(Shipments[[#This Row],[Allocation Type]]="AppleCare", IF(ISNUMBER(SEARCH("AppleCare", Shipments[[#This Row],[Carrier]])), "Compliant", "Liability Risk"), "Compliant")</f>
        <v>Compliant</v>
      </c>
      <c r="X140" s="11">
        <f>ROUND(100 - ((Shipments[[#This Row],[CO₂ Estimate (kg)]]/500)*40) - (Shipments[[#This Row],[RiskScoreCalc]]/3), 0)</f>
        <v>40</v>
      </c>
    </row>
    <row r="141" spans="1:24" x14ac:dyDescent="0.3">
      <c r="A141" s="6" t="s">
        <v>314</v>
      </c>
      <c r="B141" s="6" t="s">
        <v>58</v>
      </c>
      <c r="C141" s="6" t="s">
        <v>20</v>
      </c>
      <c r="D141" s="8">
        <v>46102</v>
      </c>
      <c r="E141" s="8">
        <v>46105</v>
      </c>
      <c r="F141" s="8">
        <v>46116</v>
      </c>
      <c r="G141" s="6"/>
      <c r="H141" s="7">
        <v>46105.041666666664</v>
      </c>
      <c r="I141" s="7">
        <v>46116.416666666664</v>
      </c>
      <c r="J141" s="6" t="s">
        <v>45</v>
      </c>
      <c r="K141" s="6" t="s">
        <v>315</v>
      </c>
      <c r="L141" s="6" t="s">
        <v>23</v>
      </c>
      <c r="M141" s="6">
        <v>75</v>
      </c>
      <c r="N141" s="6" t="s">
        <v>24</v>
      </c>
      <c r="O141" s="6"/>
      <c r="P141" s="10">
        <v>375.5</v>
      </c>
      <c r="Q141" s="11">
        <v>45</v>
      </c>
      <c r="R141" s="9">
        <v>46128.647222222222</v>
      </c>
      <c r="S141" s="7" t="str">
        <f>IF(Shipments[[#This Row],[ATA]]&lt;&gt;"", IF(Shipments[[#This Row],[ATA]]&lt;=Shipments[[#This Row],[ETA]],"On Time","Late"), IF(Shipments[[#This Row],[Status]]="Delivered","On Time","Pending"))</f>
        <v>Late</v>
      </c>
      <c r="T14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1" s="11">
        <f ca="1">IF(Shipments[[#This Row],[ETA]]&lt;&gt;"", Shipments[[#This Row],[ETA]]-TODAY(), "")</f>
        <v>-13</v>
      </c>
      <c r="V141" s="13">
        <f>_xlfn.XLOOKUP(Shipments[[#This Row],[Carrier]], CarrierRef[Carrier], CarrierRef[BaseOnTime], "N/A")</f>
        <v>0.87</v>
      </c>
      <c r="W141" s="7" t="str">
        <f>IF(Shipments[[#This Row],[Allocation Type]]="AppleCare", IF(ISNUMBER(SEARCH("AppleCare", Shipments[[#This Row],[Carrier]])), "Compliant", "Liability Risk"), "Compliant")</f>
        <v>Compliant</v>
      </c>
      <c r="X141" s="11">
        <f>ROUND(100 - ((Shipments[[#This Row],[CO₂ Estimate (kg)]]/500)*40) - (Shipments[[#This Row],[RiskScoreCalc]]/3), 0)</f>
        <v>37</v>
      </c>
    </row>
    <row r="142" spans="1:24" x14ac:dyDescent="0.3">
      <c r="A142" s="6" t="s">
        <v>316</v>
      </c>
      <c r="B142" s="6" t="s">
        <v>39</v>
      </c>
      <c r="C142" s="6" t="s">
        <v>20</v>
      </c>
      <c r="D142" s="8">
        <v>46099</v>
      </c>
      <c r="E142" s="8">
        <v>46103</v>
      </c>
      <c r="F142" s="8">
        <v>46109</v>
      </c>
      <c r="G142" s="7">
        <v>46099.666666666664</v>
      </c>
      <c r="H142" s="6"/>
      <c r="I142" s="7">
        <v>46108.666666666664</v>
      </c>
      <c r="J142" s="6" t="s">
        <v>40</v>
      </c>
      <c r="K142" s="6" t="s">
        <v>317</v>
      </c>
      <c r="L142" s="6" t="s">
        <v>28</v>
      </c>
      <c r="M142" s="6">
        <v>-19</v>
      </c>
      <c r="N142" s="6" t="s">
        <v>52</v>
      </c>
      <c r="O142" s="6" t="s">
        <v>120</v>
      </c>
      <c r="P142" s="10">
        <v>484.5</v>
      </c>
      <c r="Q142" s="11">
        <v>72</v>
      </c>
      <c r="R142" s="9">
        <v>46128.438888888886</v>
      </c>
      <c r="S142" s="7" t="str">
        <f>IF(Shipments[[#This Row],[ATA]]&lt;&gt;"", IF(Shipments[[#This Row],[ATA]]&lt;=Shipments[[#This Row],[ETA]],"On Time","Late"), IF(Shipments[[#This Row],[Status]]="Delivered","On Time","Pending"))</f>
        <v>On Time</v>
      </c>
      <c r="T14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150.19999999999999</v>
      </c>
      <c r="U142" s="11">
        <f ca="1">IF(Shipments[[#This Row],[ETA]]&lt;&gt;"", Shipments[[#This Row],[ETA]]-TODAY(), "")</f>
        <v>-20</v>
      </c>
      <c r="V142" s="13">
        <f>_xlfn.XLOOKUP(Shipments[[#This Row],[Carrier]], CarrierRef[Carrier], CarrierRef[BaseOnTime], "N/A")</f>
        <v>0.93</v>
      </c>
      <c r="W142" s="7" t="str">
        <f>IF(Shipments[[#This Row],[Allocation Type]]="AppleCare", IF(ISNUMBER(SEARCH("AppleCare", Shipments[[#This Row],[Carrier]])), "Compliant", "Liability Risk"), "Compliant")</f>
        <v>Liability Risk</v>
      </c>
      <c r="X142" s="11">
        <f>ROUND(100 - ((Shipments[[#This Row],[CO₂ Estimate (kg)]]/500)*40) - (Shipments[[#This Row],[RiskScoreCalc]]/3), 0)</f>
        <v>11</v>
      </c>
    </row>
    <row r="143" spans="1:24" x14ac:dyDescent="0.3">
      <c r="A143" s="6" t="s">
        <v>318</v>
      </c>
      <c r="B143" s="6" t="s">
        <v>58</v>
      </c>
      <c r="C143" s="6" t="s">
        <v>20</v>
      </c>
      <c r="D143" s="8">
        <v>46095</v>
      </c>
      <c r="E143" s="8">
        <v>46099</v>
      </c>
      <c r="F143" s="8">
        <v>46106</v>
      </c>
      <c r="G143" s="7">
        <v>46095.625</v>
      </c>
      <c r="H143" s="7">
        <v>46099.708333333336</v>
      </c>
      <c r="I143" s="7">
        <v>46105.541666666664</v>
      </c>
      <c r="J143" s="6" t="s">
        <v>34</v>
      </c>
      <c r="K143" s="6" t="s">
        <v>319</v>
      </c>
      <c r="L143" s="6" t="s">
        <v>28</v>
      </c>
      <c r="M143" s="6">
        <v>2</v>
      </c>
      <c r="N143" s="6" t="s">
        <v>24</v>
      </c>
      <c r="O143" s="6"/>
      <c r="P143" s="10">
        <v>381.9</v>
      </c>
      <c r="Q143" s="11">
        <v>15</v>
      </c>
      <c r="R143" s="9">
        <v>46126.980555555558</v>
      </c>
      <c r="S143" s="7" t="str">
        <f>IF(Shipments[[#This Row],[ATA]]&lt;&gt;"", IF(Shipments[[#This Row],[ATA]]&lt;=Shipments[[#This Row],[ETA]],"On Time","Late"), IF(Shipments[[#This Row],[Status]]="Delivered","On Time","Pending"))</f>
        <v>On Time</v>
      </c>
      <c r="T14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3" s="11">
        <f ca="1">IF(Shipments[[#This Row],[ETA]]&lt;&gt;"", Shipments[[#This Row],[ETA]]-TODAY(), "")</f>
        <v>-23</v>
      </c>
      <c r="V143" s="13">
        <f>_xlfn.XLOOKUP(Shipments[[#This Row],[Carrier]], CarrierRef[Carrier], CarrierRef[BaseOnTime], "N/A")</f>
        <v>0.89</v>
      </c>
      <c r="W143" s="7" t="str">
        <f>IF(Shipments[[#This Row],[Allocation Type]]="AppleCare", IF(ISNUMBER(SEARCH("AppleCare", Shipments[[#This Row],[Carrier]])), "Compliant", "Liability Risk"), "Compliant")</f>
        <v>Liability Risk</v>
      </c>
      <c r="X143" s="11">
        <f>ROUND(100 - ((Shipments[[#This Row],[CO₂ Estimate (kg)]]/500)*40) - (Shipments[[#This Row],[RiskScoreCalc]]/3), 0)</f>
        <v>36</v>
      </c>
    </row>
    <row r="144" spans="1:24" x14ac:dyDescent="0.3">
      <c r="A144" s="6" t="s">
        <v>320</v>
      </c>
      <c r="B144" s="6" t="s">
        <v>33</v>
      </c>
      <c r="C144" s="6" t="s">
        <v>20</v>
      </c>
      <c r="D144" s="8">
        <v>46113</v>
      </c>
      <c r="E144" s="8">
        <v>46115</v>
      </c>
      <c r="F144" s="8">
        <v>46125</v>
      </c>
      <c r="G144" s="7">
        <v>46113.708333333336</v>
      </c>
      <c r="H144" s="7">
        <v>46114.958333333336</v>
      </c>
      <c r="I144" s="7">
        <v>46125.166666666664</v>
      </c>
      <c r="J144" s="6" t="s">
        <v>45</v>
      </c>
      <c r="K144" s="6" t="s">
        <v>321</v>
      </c>
      <c r="L144" s="6" t="s">
        <v>23</v>
      </c>
      <c r="M144" s="6">
        <v>77</v>
      </c>
      <c r="N144" s="6" t="s">
        <v>24</v>
      </c>
      <c r="O144" s="6"/>
      <c r="P144" s="10">
        <v>480.4</v>
      </c>
      <c r="Q144" s="11">
        <v>34</v>
      </c>
      <c r="R144" s="9">
        <v>46127.855555555558</v>
      </c>
      <c r="S144" s="7" t="str">
        <f>IF(Shipments[[#This Row],[ATA]]&lt;&gt;"", IF(Shipments[[#This Row],[ATA]]&lt;=Shipments[[#This Row],[ETA]],"On Time","Late"), IF(Shipments[[#This Row],[Status]]="Delivered","On Time","Pending"))</f>
        <v>Late</v>
      </c>
      <c r="T14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4" s="11">
        <f ca="1">IF(Shipments[[#This Row],[ETA]]&lt;&gt;"", Shipments[[#This Row],[ETA]]-TODAY(), "")</f>
        <v>-4</v>
      </c>
      <c r="V144" s="13">
        <f>_xlfn.XLOOKUP(Shipments[[#This Row],[Carrier]], CarrierRef[Carrier], CarrierRef[BaseOnTime], "N/A")</f>
        <v>0.87</v>
      </c>
      <c r="W144" s="7" t="str">
        <f>IF(Shipments[[#This Row],[Allocation Type]]="AppleCare", IF(ISNUMBER(SEARCH("AppleCare", Shipments[[#This Row],[Carrier]])), "Compliant", "Liability Risk"), "Compliant")</f>
        <v>Compliant</v>
      </c>
      <c r="X144" s="11">
        <f>ROUND(100 - ((Shipments[[#This Row],[CO₂ Estimate (kg)]]/500)*40) - (Shipments[[#This Row],[RiskScoreCalc]]/3), 0)</f>
        <v>28</v>
      </c>
    </row>
    <row r="145" spans="1:24" x14ac:dyDescent="0.3">
      <c r="A145" s="6" t="s">
        <v>322</v>
      </c>
      <c r="B145" s="6" t="s">
        <v>58</v>
      </c>
      <c r="C145" s="6" t="s">
        <v>20</v>
      </c>
      <c r="D145" s="8">
        <v>46117</v>
      </c>
      <c r="E145" s="8">
        <v>46118</v>
      </c>
      <c r="F145" s="8">
        <v>46125</v>
      </c>
      <c r="G145" s="7">
        <v>46117.125</v>
      </c>
      <c r="H145" s="7">
        <v>46118.458333333336</v>
      </c>
      <c r="I145" s="7">
        <v>46124.791666666664</v>
      </c>
      <c r="J145" s="6" t="s">
        <v>40</v>
      </c>
      <c r="K145" s="6" t="s">
        <v>323</v>
      </c>
      <c r="L145" s="6" t="s">
        <v>28</v>
      </c>
      <c r="M145" s="6">
        <v>-12</v>
      </c>
      <c r="N145" s="6" t="s">
        <v>24</v>
      </c>
      <c r="O145" s="6"/>
      <c r="P145" s="10">
        <v>376.6</v>
      </c>
      <c r="Q145" s="11">
        <v>26</v>
      </c>
      <c r="R145" s="9">
        <v>46127.355555555558</v>
      </c>
      <c r="S145" s="7" t="str">
        <f>IF(Shipments[[#This Row],[ATA]]&lt;&gt;"", IF(Shipments[[#This Row],[ATA]]&lt;=Shipments[[#This Row],[ETA]],"On Time","Late"), IF(Shipments[[#This Row],[Status]]="Delivered","On Time","Pending"))</f>
        <v>On Time</v>
      </c>
      <c r="T145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109.6</v>
      </c>
      <c r="U145" s="11">
        <f ca="1">IF(Shipments[[#This Row],[ETA]]&lt;&gt;"", Shipments[[#This Row],[ETA]]-TODAY(), "")</f>
        <v>-4</v>
      </c>
      <c r="V145" s="13">
        <f>_xlfn.XLOOKUP(Shipments[[#This Row],[Carrier]], CarrierRef[Carrier], CarrierRef[BaseOnTime], "N/A")</f>
        <v>0.93</v>
      </c>
      <c r="W145" s="7" t="str">
        <f>IF(Shipments[[#This Row],[Allocation Type]]="AppleCare", IF(ISNUMBER(SEARCH("AppleCare", Shipments[[#This Row],[Carrier]])), "Compliant", "Liability Risk"), "Compliant")</f>
        <v>Liability Risk</v>
      </c>
      <c r="X145" s="11">
        <f>ROUND(100 - ((Shipments[[#This Row],[CO₂ Estimate (kg)]]/500)*40) - (Shipments[[#This Row],[RiskScoreCalc]]/3), 0)</f>
        <v>33</v>
      </c>
    </row>
    <row r="146" spans="1:24" x14ac:dyDescent="0.3">
      <c r="A146" s="6" t="s">
        <v>324</v>
      </c>
      <c r="B146" s="6" t="s">
        <v>19</v>
      </c>
      <c r="C146" s="6" t="s">
        <v>20</v>
      </c>
      <c r="D146" s="8">
        <v>46103</v>
      </c>
      <c r="E146" s="8">
        <v>46106</v>
      </c>
      <c r="F146" s="8">
        <v>46113</v>
      </c>
      <c r="G146" s="7">
        <v>46103.666666666664</v>
      </c>
      <c r="H146" s="7">
        <v>46107.291666666664</v>
      </c>
      <c r="I146" s="7">
        <v>46112.625</v>
      </c>
      <c r="J146" s="6" t="s">
        <v>40</v>
      </c>
      <c r="K146" s="6" t="s">
        <v>325</v>
      </c>
      <c r="L146" s="6" t="s">
        <v>23</v>
      </c>
      <c r="M146" s="6">
        <v>-46</v>
      </c>
      <c r="N146" s="6" t="s">
        <v>24</v>
      </c>
      <c r="O146" s="6"/>
      <c r="P146" s="10">
        <v>271.7</v>
      </c>
      <c r="Q146" s="11">
        <v>54</v>
      </c>
      <c r="R146" s="9">
        <v>46127.397222222222</v>
      </c>
      <c r="S146" s="7" t="str">
        <f>IF(Shipments[[#This Row],[ATA]]&lt;&gt;"", IF(Shipments[[#This Row],[ATA]]&lt;=Shipments[[#This Row],[ETA]],"On Time","Late"), IF(Shipments[[#This Row],[Status]]="Delivered","On Time","Pending"))</f>
        <v>On Time</v>
      </c>
      <c r="T146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136.80000000000001</v>
      </c>
      <c r="U146" s="11">
        <f ca="1">IF(Shipments[[#This Row],[ETA]]&lt;&gt;"", Shipments[[#This Row],[ETA]]-TODAY(), "")</f>
        <v>-16</v>
      </c>
      <c r="V146" s="13">
        <f>_xlfn.XLOOKUP(Shipments[[#This Row],[Carrier]], CarrierRef[Carrier], CarrierRef[BaseOnTime], "N/A")</f>
        <v>0.93</v>
      </c>
      <c r="W146" s="7" t="str">
        <f>IF(Shipments[[#This Row],[Allocation Type]]="AppleCare", IF(ISNUMBER(SEARCH("AppleCare", Shipments[[#This Row],[Carrier]])), "Compliant", "Liability Risk"), "Compliant")</f>
        <v>Compliant</v>
      </c>
      <c r="X146" s="11">
        <f>ROUND(100 - ((Shipments[[#This Row],[CO₂ Estimate (kg)]]/500)*40) - (Shipments[[#This Row],[RiskScoreCalc]]/3), 0)</f>
        <v>33</v>
      </c>
    </row>
    <row r="147" spans="1:24" x14ac:dyDescent="0.3">
      <c r="A147" s="6" t="s">
        <v>326</v>
      </c>
      <c r="B147" s="6" t="s">
        <v>39</v>
      </c>
      <c r="C147" s="6" t="s">
        <v>20</v>
      </c>
      <c r="D147" s="8">
        <v>46090</v>
      </c>
      <c r="E147" s="8">
        <v>46091</v>
      </c>
      <c r="F147" s="8">
        <v>46099</v>
      </c>
      <c r="G147" s="7">
        <v>46090.208333333336</v>
      </c>
      <c r="H147" s="7">
        <v>46091.25</v>
      </c>
      <c r="I147" s="7">
        <v>46099.916666666664</v>
      </c>
      <c r="J147" s="6" t="s">
        <v>34</v>
      </c>
      <c r="K147" s="6" t="s">
        <v>321</v>
      </c>
      <c r="L147" s="6" t="s">
        <v>23</v>
      </c>
      <c r="M147" s="6">
        <v>69</v>
      </c>
      <c r="N147" s="6" t="s">
        <v>24</v>
      </c>
      <c r="O147" s="6"/>
      <c r="P147" s="10">
        <v>543.1</v>
      </c>
      <c r="Q147" s="11">
        <v>30</v>
      </c>
      <c r="R147" s="9">
        <v>46127.397222222222</v>
      </c>
      <c r="S147" s="7" t="str">
        <f>IF(Shipments[[#This Row],[ATA]]&lt;&gt;"", IF(Shipments[[#This Row],[ATA]]&lt;=Shipments[[#This Row],[ETA]],"On Time","Late"), IF(Shipments[[#This Row],[Status]]="Delivered","On Time","Pending"))</f>
        <v>Late</v>
      </c>
      <c r="T147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7" s="11">
        <f ca="1">IF(Shipments[[#This Row],[ETA]]&lt;&gt;"", Shipments[[#This Row],[ETA]]-TODAY(), "")</f>
        <v>-30</v>
      </c>
      <c r="V147" s="13">
        <f>_xlfn.XLOOKUP(Shipments[[#This Row],[Carrier]], CarrierRef[Carrier], CarrierRef[BaseOnTime], "N/A")</f>
        <v>0.89</v>
      </c>
      <c r="W147" s="7" t="str">
        <f>IF(Shipments[[#This Row],[Allocation Type]]="AppleCare", IF(ISNUMBER(SEARCH("AppleCare", Shipments[[#This Row],[Carrier]])), "Compliant", "Liability Risk"), "Compliant")</f>
        <v>Compliant</v>
      </c>
      <c r="X147" s="11">
        <f>ROUND(100 - ((Shipments[[#This Row],[CO₂ Estimate (kg)]]/500)*40) - (Shipments[[#This Row],[RiskScoreCalc]]/3), 0)</f>
        <v>23</v>
      </c>
    </row>
    <row r="148" spans="1:24" x14ac:dyDescent="0.3">
      <c r="A148" s="6" t="s">
        <v>327</v>
      </c>
      <c r="B148" s="6" t="s">
        <v>30</v>
      </c>
      <c r="C148" s="6" t="s">
        <v>20</v>
      </c>
      <c r="D148" s="8">
        <v>46112</v>
      </c>
      <c r="E148" s="8">
        <v>46116</v>
      </c>
      <c r="F148" s="8">
        <v>46124</v>
      </c>
      <c r="G148" s="7">
        <v>46112</v>
      </c>
      <c r="H148" s="7">
        <v>46118</v>
      </c>
      <c r="I148" s="7">
        <v>46128</v>
      </c>
      <c r="J148" s="6" t="s">
        <v>45</v>
      </c>
      <c r="K148" s="6" t="s">
        <v>328</v>
      </c>
      <c r="L148" s="6" t="s">
        <v>23</v>
      </c>
      <c r="M148" s="6">
        <v>-40</v>
      </c>
      <c r="N148" s="6" t="s">
        <v>24</v>
      </c>
      <c r="O148" s="6"/>
      <c r="P148" s="10">
        <v>343.8</v>
      </c>
      <c r="Q148" s="11">
        <v>65</v>
      </c>
      <c r="R148" s="9">
        <v>46128.647222222222</v>
      </c>
      <c r="S148" s="7" t="str">
        <f>IF(Shipments[[#This Row],[ATA]]&lt;&gt;"", IF(Shipments[[#This Row],[ATA]]&lt;=Shipments[[#This Row],[ETA]],"On Time","Late"), IF(Shipments[[#This Row],[Status]]="Delivered","On Time","Pending"))</f>
        <v>Late</v>
      </c>
      <c r="T148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132</v>
      </c>
      <c r="U148" s="11">
        <f ca="1">IF(Shipments[[#This Row],[ETA]]&lt;&gt;"", Shipments[[#This Row],[ETA]]-TODAY(), "")</f>
        <v>-5</v>
      </c>
      <c r="V148" s="13">
        <f>_xlfn.XLOOKUP(Shipments[[#This Row],[Carrier]], CarrierRef[Carrier], CarrierRef[BaseOnTime], "N/A")</f>
        <v>0.87</v>
      </c>
      <c r="W148" s="7" t="str">
        <f>IF(Shipments[[#This Row],[Allocation Type]]="AppleCare", IF(ISNUMBER(SEARCH("AppleCare", Shipments[[#This Row],[Carrier]])), "Compliant", "Liability Risk"), "Compliant")</f>
        <v>Compliant</v>
      </c>
      <c r="X148" s="11">
        <f>ROUND(100 - ((Shipments[[#This Row],[CO₂ Estimate (kg)]]/500)*40) - (Shipments[[#This Row],[RiskScoreCalc]]/3), 0)</f>
        <v>28</v>
      </c>
    </row>
    <row r="149" spans="1:24" x14ac:dyDescent="0.3">
      <c r="A149" s="6" t="s">
        <v>329</v>
      </c>
      <c r="B149" s="6" t="s">
        <v>19</v>
      </c>
      <c r="C149" s="6" t="s">
        <v>20</v>
      </c>
      <c r="D149" s="8">
        <v>46115</v>
      </c>
      <c r="E149" s="8">
        <v>46119</v>
      </c>
      <c r="F149" s="8">
        <v>46126</v>
      </c>
      <c r="G149" s="7">
        <v>46115.041666666664</v>
      </c>
      <c r="H149" s="7">
        <v>46119.208333333336</v>
      </c>
      <c r="I149" s="7">
        <v>46127.625</v>
      </c>
      <c r="J149" s="6" t="s">
        <v>45</v>
      </c>
      <c r="K149" s="6" t="s">
        <v>330</v>
      </c>
      <c r="L149" s="6" t="s">
        <v>28</v>
      </c>
      <c r="M149" s="6">
        <v>41</v>
      </c>
      <c r="N149" s="6" t="s">
        <v>24</v>
      </c>
      <c r="O149" s="6"/>
      <c r="P149" s="10">
        <v>460.5</v>
      </c>
      <c r="Q149" s="11">
        <v>20</v>
      </c>
      <c r="R149" s="9">
        <v>46128.022222222222</v>
      </c>
      <c r="S149" s="7" t="str">
        <f>IF(Shipments[[#This Row],[ATA]]&lt;&gt;"", IF(Shipments[[#This Row],[ATA]]&lt;=Shipments[[#This Row],[ETA]],"On Time","Late"), IF(Shipments[[#This Row],[Status]]="Delivered","On Time","Pending"))</f>
        <v>Late</v>
      </c>
      <c r="T149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49" s="11">
        <f ca="1">IF(Shipments[[#This Row],[ETA]]&lt;&gt;"", Shipments[[#This Row],[ETA]]-TODAY(), "")</f>
        <v>-3</v>
      </c>
      <c r="V149" s="13">
        <f>_xlfn.XLOOKUP(Shipments[[#This Row],[Carrier]], CarrierRef[Carrier], CarrierRef[BaseOnTime], "N/A")</f>
        <v>0.87</v>
      </c>
      <c r="W149" s="7" t="str">
        <f>IF(Shipments[[#This Row],[Allocation Type]]="AppleCare", IF(ISNUMBER(SEARCH("AppleCare", Shipments[[#This Row],[Carrier]])), "Compliant", "Liability Risk"), "Compliant")</f>
        <v>Liability Risk</v>
      </c>
      <c r="X149" s="11">
        <f>ROUND(100 - ((Shipments[[#This Row],[CO₂ Estimate (kg)]]/500)*40) - (Shipments[[#This Row],[RiskScoreCalc]]/3), 0)</f>
        <v>30</v>
      </c>
    </row>
    <row r="150" spans="1:24" x14ac:dyDescent="0.3">
      <c r="A150" s="6" t="s">
        <v>331</v>
      </c>
      <c r="B150" s="6" t="s">
        <v>58</v>
      </c>
      <c r="C150" s="6" t="s">
        <v>20</v>
      </c>
      <c r="D150" s="8">
        <v>46092</v>
      </c>
      <c r="E150" s="8">
        <v>46096</v>
      </c>
      <c r="F150" s="8">
        <v>46101</v>
      </c>
      <c r="G150" s="7">
        <v>46093</v>
      </c>
      <c r="H150" s="7">
        <v>46098</v>
      </c>
      <c r="I150" s="7">
        <v>46104</v>
      </c>
      <c r="J150" s="6" t="s">
        <v>26</v>
      </c>
      <c r="K150" s="6" t="s">
        <v>332</v>
      </c>
      <c r="L150" s="6" t="s">
        <v>23</v>
      </c>
      <c r="M150" s="6">
        <v>34</v>
      </c>
      <c r="N150" s="6" t="s">
        <v>24</v>
      </c>
      <c r="O150" s="6"/>
      <c r="P150" s="10">
        <v>537.9</v>
      </c>
      <c r="Q150" s="11">
        <v>36</v>
      </c>
      <c r="R150" s="9">
        <v>46127.813888888886</v>
      </c>
      <c r="S150" s="7" t="str">
        <f>IF(Shipments[[#This Row],[ATA]]&lt;&gt;"", IF(Shipments[[#This Row],[ATA]]&lt;=Shipments[[#This Row],[ETA]],"On Time","Late"), IF(Shipments[[#This Row],[Status]]="Delivered","On Time","Pending"))</f>
        <v>Late</v>
      </c>
      <c r="T150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50" s="11">
        <f ca="1">IF(Shipments[[#This Row],[ETA]]&lt;&gt;"", Shipments[[#This Row],[ETA]]-TODAY(), "")</f>
        <v>-28</v>
      </c>
      <c r="V150" s="13">
        <f>_xlfn.XLOOKUP(Shipments[[#This Row],[Carrier]], CarrierRef[Carrier], CarrierRef[BaseOnTime], "N/A")</f>
        <v>0.91</v>
      </c>
      <c r="W150" s="7" t="str">
        <f>IF(Shipments[[#This Row],[Allocation Type]]="AppleCare", IF(ISNUMBER(SEARCH("AppleCare", Shipments[[#This Row],[Carrier]])), "Compliant", "Liability Risk"), "Compliant")</f>
        <v>Compliant</v>
      </c>
      <c r="X150" s="11">
        <f>ROUND(100 - ((Shipments[[#This Row],[CO₂ Estimate (kg)]]/500)*40) - (Shipments[[#This Row],[RiskScoreCalc]]/3), 0)</f>
        <v>24</v>
      </c>
    </row>
    <row r="151" spans="1:24" x14ac:dyDescent="0.3">
      <c r="A151" s="6" t="s">
        <v>333</v>
      </c>
      <c r="B151" s="6" t="s">
        <v>39</v>
      </c>
      <c r="C151" s="6" t="s">
        <v>20</v>
      </c>
      <c r="D151" s="8">
        <v>46100</v>
      </c>
      <c r="E151" s="8">
        <v>46103</v>
      </c>
      <c r="F151" s="8">
        <v>46113</v>
      </c>
      <c r="G151" s="7">
        <v>46100.791666666664</v>
      </c>
      <c r="H151" s="7">
        <v>46103.5</v>
      </c>
      <c r="I151" s="7">
        <v>46114.041666666664</v>
      </c>
      <c r="J151" s="6" t="s">
        <v>21</v>
      </c>
      <c r="K151" s="6" t="s">
        <v>334</v>
      </c>
      <c r="L151" s="6" t="s">
        <v>23</v>
      </c>
      <c r="M151" s="6">
        <v>-25</v>
      </c>
      <c r="N151" s="6" t="s">
        <v>24</v>
      </c>
      <c r="O151" s="6"/>
      <c r="P151" s="10">
        <v>395.5</v>
      </c>
      <c r="Q151" s="11">
        <v>51</v>
      </c>
      <c r="R151" s="9">
        <v>46127.022222222222</v>
      </c>
      <c r="S151" s="7" t="str">
        <f>IF(Shipments[[#This Row],[ATA]]&lt;&gt;"", IF(Shipments[[#This Row],[ATA]]&lt;=Shipments[[#This Row],[ETA]],"On Time","Late"), IF(Shipments[[#This Row],[Status]]="Delivered","On Time","Pending"))</f>
        <v>Late</v>
      </c>
      <c r="T151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120</v>
      </c>
      <c r="U151" s="11">
        <f ca="1">IF(Shipments[[#This Row],[ETA]]&lt;&gt;"", Shipments[[#This Row],[ETA]]-TODAY(), "")</f>
        <v>-16</v>
      </c>
      <c r="V151" s="13">
        <f>_xlfn.XLOOKUP(Shipments[[#This Row],[Carrier]], CarrierRef[Carrier], CarrierRef[BaseOnTime], "N/A")</f>
        <v>0.94</v>
      </c>
      <c r="W151" s="7" t="str">
        <f>IF(Shipments[[#This Row],[Allocation Type]]="AppleCare", IF(ISNUMBER(SEARCH("AppleCare", Shipments[[#This Row],[Carrier]])), "Compliant", "Liability Risk"), "Compliant")</f>
        <v>Compliant</v>
      </c>
      <c r="X151" s="11">
        <f>ROUND(100 - ((Shipments[[#This Row],[CO₂ Estimate (kg)]]/500)*40) - (Shipments[[#This Row],[RiskScoreCalc]]/3), 0)</f>
        <v>28</v>
      </c>
    </row>
    <row r="152" spans="1:24" x14ac:dyDescent="0.3">
      <c r="A152" s="6" t="s">
        <v>335</v>
      </c>
      <c r="B152" s="6" t="s">
        <v>39</v>
      </c>
      <c r="C152" s="6" t="s">
        <v>20</v>
      </c>
      <c r="D152" s="8">
        <v>46096</v>
      </c>
      <c r="E152" s="8">
        <v>46099</v>
      </c>
      <c r="F152" s="8">
        <v>46108</v>
      </c>
      <c r="G152" s="6"/>
      <c r="H152" s="7">
        <v>46099</v>
      </c>
      <c r="I152" s="7">
        <v>46109</v>
      </c>
      <c r="J152" s="6" t="s">
        <v>40</v>
      </c>
      <c r="K152" s="6" t="s">
        <v>336</v>
      </c>
      <c r="L152" s="6" t="s">
        <v>28</v>
      </c>
      <c r="M152" s="6">
        <v>39</v>
      </c>
      <c r="N152" s="6" t="s">
        <v>24</v>
      </c>
      <c r="O152" s="6"/>
      <c r="P152" s="10">
        <v>538.29999999999995</v>
      </c>
      <c r="Q152" s="11">
        <v>16</v>
      </c>
      <c r="R152" s="9">
        <v>46128.605555555558</v>
      </c>
      <c r="S152" s="7" t="str">
        <f>IF(Shipments[[#This Row],[ATA]]&lt;&gt;"", IF(Shipments[[#This Row],[ATA]]&lt;=Shipments[[#This Row],[ETA]],"On Time","Late"), IF(Shipments[[#This Row],[Status]]="Delivered","On Time","Pending"))</f>
        <v>Late</v>
      </c>
      <c r="T152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52" s="11">
        <f ca="1">IF(Shipments[[#This Row],[ETA]]&lt;&gt;"", Shipments[[#This Row],[ETA]]-TODAY(), "")</f>
        <v>-21</v>
      </c>
      <c r="V152" s="13">
        <f>_xlfn.XLOOKUP(Shipments[[#This Row],[Carrier]], CarrierRef[Carrier], CarrierRef[BaseOnTime], "N/A")</f>
        <v>0.93</v>
      </c>
      <c r="W152" s="7" t="str">
        <f>IF(Shipments[[#This Row],[Allocation Type]]="AppleCare", IF(ISNUMBER(SEARCH("AppleCare", Shipments[[#This Row],[Carrier]])), "Compliant", "Liability Risk"), "Compliant")</f>
        <v>Liability Risk</v>
      </c>
      <c r="X152" s="11">
        <f>ROUND(100 - ((Shipments[[#This Row],[CO₂ Estimate (kg)]]/500)*40) - (Shipments[[#This Row],[RiskScoreCalc]]/3), 0)</f>
        <v>24</v>
      </c>
    </row>
    <row r="153" spans="1:24" x14ac:dyDescent="0.3">
      <c r="A153" s="6" t="s">
        <v>337</v>
      </c>
      <c r="B153" s="6" t="s">
        <v>39</v>
      </c>
      <c r="C153" s="6" t="s">
        <v>20</v>
      </c>
      <c r="D153" s="8">
        <v>46118</v>
      </c>
      <c r="E153" s="8">
        <v>46122</v>
      </c>
      <c r="F153" s="8">
        <v>46130</v>
      </c>
      <c r="G153" s="7">
        <v>46119</v>
      </c>
      <c r="H153" s="7">
        <v>46125</v>
      </c>
      <c r="I153" s="7">
        <v>46133</v>
      </c>
      <c r="J153" s="6" t="s">
        <v>34</v>
      </c>
      <c r="K153" s="6" t="s">
        <v>338</v>
      </c>
      <c r="L153" s="6" t="s">
        <v>23</v>
      </c>
      <c r="M153" s="6">
        <v>44</v>
      </c>
      <c r="N153" s="6" t="s">
        <v>24</v>
      </c>
      <c r="O153" s="6"/>
      <c r="P153" s="10">
        <v>354.8</v>
      </c>
      <c r="Q153" s="11">
        <v>43</v>
      </c>
      <c r="R153" s="9">
        <v>46127.147222222222</v>
      </c>
      <c r="S153" s="7" t="str">
        <f>IF(Shipments[[#This Row],[ATA]]&lt;&gt;"", IF(Shipments[[#This Row],[ATA]]&lt;=Shipments[[#This Row],[ETA]],"On Time","Late"), IF(Shipments[[#This Row],[Status]]="Delivered","On Time","Pending"))</f>
        <v>Late</v>
      </c>
      <c r="T153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100</v>
      </c>
      <c r="U153" s="11">
        <f ca="1">IF(Shipments[[#This Row],[ETA]]&lt;&gt;"", Shipments[[#This Row],[ETA]]-TODAY(), "")</f>
        <v>1</v>
      </c>
      <c r="V153" s="13">
        <f>_xlfn.XLOOKUP(Shipments[[#This Row],[Carrier]], CarrierRef[Carrier], CarrierRef[BaseOnTime], "N/A")</f>
        <v>0.89</v>
      </c>
      <c r="W153" s="7" t="str">
        <f>IF(Shipments[[#This Row],[Allocation Type]]="AppleCare", IF(ISNUMBER(SEARCH("AppleCare", Shipments[[#This Row],[Carrier]])), "Compliant", "Liability Risk"), "Compliant")</f>
        <v>Compliant</v>
      </c>
      <c r="X153" s="11">
        <f>ROUND(100 - ((Shipments[[#This Row],[CO₂ Estimate (kg)]]/500)*40) - (Shipments[[#This Row],[RiskScoreCalc]]/3), 0)</f>
        <v>38</v>
      </c>
    </row>
    <row r="154" spans="1:24" x14ac:dyDescent="0.3">
      <c r="A154" s="6" t="s">
        <v>339</v>
      </c>
      <c r="B154" s="6" t="s">
        <v>63</v>
      </c>
      <c r="C154" s="6" t="s">
        <v>20</v>
      </c>
      <c r="D154" s="8">
        <v>46110</v>
      </c>
      <c r="E154" s="8">
        <v>46111</v>
      </c>
      <c r="F154" s="8">
        <v>46116</v>
      </c>
      <c r="G154" s="7">
        <v>46109.666666666664</v>
      </c>
      <c r="H154" s="6"/>
      <c r="I154" s="7">
        <v>46117.041666666664</v>
      </c>
      <c r="J154" s="6" t="s">
        <v>34</v>
      </c>
      <c r="K154" s="6" t="s">
        <v>340</v>
      </c>
      <c r="L154" s="6" t="s">
        <v>23</v>
      </c>
      <c r="M154" s="6">
        <v>65</v>
      </c>
      <c r="N154" s="6" t="s">
        <v>52</v>
      </c>
      <c r="O154" s="6"/>
      <c r="P154" s="10">
        <v>341.5</v>
      </c>
      <c r="Q154" s="11">
        <v>43</v>
      </c>
      <c r="R154" s="9">
        <v>46127.730555555558</v>
      </c>
      <c r="S154" s="7" t="str">
        <f>IF(Shipments[[#This Row],[ATA]]&lt;&gt;"", IF(Shipments[[#This Row],[ATA]]&lt;=Shipments[[#This Row],[ETA]],"On Time","Late"), IF(Shipments[[#This Row],[Status]]="Delivered","On Time","Pending"))</f>
        <v>Late</v>
      </c>
      <c r="T154" s="12">
        <f>_xlfn.LET(_xlpm.slaPenalty, MAX(0, Shipments[[#This Row],[Final Mile SLA (hours)]]*-0.8), _xlpm.damagePenalty, IF(Shipments[[#This Row],[Damage Flag]]="Yes",35,0), _xlpm.delayPenalty, IF(Shipments[[#This Row],[Status]]="Delayed",45,0), MAX(0, 100+_xlpm.slaPenalty+_xlpm.damagePenalty+_xlpm.delayPenalty))</f>
        <v>135</v>
      </c>
      <c r="U154" s="11">
        <f ca="1">IF(Shipments[[#This Row],[ETA]]&lt;&gt;"", Shipments[[#This Row],[ETA]]-TODAY(), "")</f>
        <v>-13</v>
      </c>
      <c r="V154" s="13">
        <f>_xlfn.XLOOKUP(Shipments[[#This Row],[Carrier]], CarrierRef[Carrier], CarrierRef[BaseOnTime], "N/A")</f>
        <v>0.89</v>
      </c>
      <c r="W154" s="7" t="str">
        <f>IF(Shipments[[#This Row],[Allocation Type]]="AppleCare", IF(ISNUMBER(SEARCH("AppleCare", Shipments[[#This Row],[Carrier]])), "Compliant", "Liability Risk"), "Compliant")</f>
        <v>Compliant</v>
      </c>
      <c r="X154" s="11">
        <f>ROUND(100 - ((Shipments[[#This Row],[CO₂ Estimate (kg)]]/500)*40) - (Shipments[[#This Row],[RiskScoreCalc]]/3), 0)</f>
        <v>28</v>
      </c>
    </row>
  </sheetData>
  <mergeCells count="3">
    <mergeCell ref="A1:X1"/>
    <mergeCell ref="A2:X2"/>
    <mergeCell ref="A3:X3"/>
  </mergeCells>
  <conditionalFormatting sqref="C5:C154">
    <cfRule type="containsText" dxfId="18" priority="8" operator="containsText" text="Delivered">
      <formula>NOT(ISERROR(SEARCH("Delivered",C5)))</formula>
    </cfRule>
    <cfRule type="containsText" dxfId="17" priority="9" operator="containsText" text="Delayed">
      <formula>NOT(ISERROR(SEARCH("Delayed",C5)))</formula>
    </cfRule>
    <cfRule type="containsText" dxfId="16" priority="10" operator="containsText" text="In Transit">
      <formula>NOT(ISERROR(SEARCH("In Transit",C5)))</formula>
    </cfRule>
    <cfRule type="containsText" dxfId="15" priority="11" operator="containsText" text="Exception">
      <formula>NOT(ISERROR(SEARCH("Exception",C5)))</formula>
    </cfRule>
  </conditionalFormatting>
  <conditionalFormatting sqref="N5:N154">
    <cfRule type="containsText" dxfId="14" priority="12" operator="containsText" text="Yes">
      <formula>NOT(ISERROR(SEARCH("Yes",N5)))</formula>
    </cfRule>
  </conditionalFormatting>
  <conditionalFormatting sqref="S5:S154">
    <cfRule type="containsText" dxfId="13" priority="1" operator="containsText" text="On Time">
      <formula>NOT(ISERROR(SEARCH("On Time",S5)))</formula>
    </cfRule>
    <cfRule type="containsText" dxfId="12" priority="2" operator="containsText" text="Late">
      <formula>NOT(ISERROR(SEARCH("Late",S5)))</formula>
    </cfRule>
    <cfRule type="containsText" dxfId="11" priority="3" operator="containsText" text="Pending">
      <formula>NOT(ISERROR(SEARCH("Pending",S5)))</formula>
    </cfRule>
  </conditionalFormatting>
  <conditionalFormatting sqref="T5:T154">
    <cfRule type="colorScale" priority="4">
      <colorScale>
        <cfvo type="num" val="0"/>
        <cfvo type="num" val="50"/>
        <cfvo type="num" val="0"/>
        <color rgb="FF34C759"/>
        <color rgb="FFFFCC00"/>
        <color rgb="FFFF3B30"/>
      </colorScale>
    </cfRule>
  </conditionalFormatting>
  <conditionalFormatting sqref="W5:W154">
    <cfRule type="containsText" dxfId="10" priority="6" operator="containsText" text="Compliant">
      <formula>NOT(ISERROR(SEARCH("Compliant",W5)))</formula>
    </cfRule>
    <cfRule type="containsText" dxfId="9" priority="7" operator="containsText" text="Liability Risk">
      <formula>NOT(ISERROR(SEARCH("Liability Risk",W5)))</formula>
    </cfRule>
  </conditionalFormatting>
  <conditionalFormatting sqref="X5:X154">
    <cfRule type="colorScale" priority="5">
      <colorScale>
        <cfvo type="num" val="0"/>
        <cfvo type="num" val="50"/>
        <cfvo type="num" val="0"/>
        <color rgb="FFFF3B30"/>
        <color rgb="FFFFCC00"/>
        <color rgb="FF34C759"/>
      </colorScale>
    </cfRule>
  </conditionalFormatting>
  <dataValidations count="1">
    <dataValidation allowBlank="1" showInputMessage="1" showErrorMessage="1" sqref="C5:C154 L5:L154 N5:N154" xr:uid="{EF1E0BA1-0D52-4252-BA33-8CC5F82A9C4F}"/>
  </dataValidations>
  <pageMargins left="0.7" right="0.7" top="0.75" bottom="0.75" header="0.3" footer="0.3"/>
  <pageSetup scale="15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AD72-55E1-42C5-9A2C-7706BD30B365}">
  <sheetPr>
    <tabColor rgb="FF0071E3"/>
    <pageSetUpPr fitToPage="1"/>
  </sheetPr>
  <dimension ref="A1:O25"/>
  <sheetViews>
    <sheetView zoomScale="52" workbookViewId="0">
      <selection activeCell="N17" sqref="N17"/>
    </sheetView>
  </sheetViews>
  <sheetFormatPr defaultRowHeight="14.4" x14ac:dyDescent="0.3"/>
  <cols>
    <col min="1" max="1" width="28.6640625" style="1" customWidth="1"/>
    <col min="2" max="2" width="16.6640625" style="1" customWidth="1"/>
    <col min="3" max="3" width="14.77734375" style="1" customWidth="1"/>
    <col min="4" max="5" width="16.6640625" style="1" customWidth="1"/>
    <col min="6" max="6" width="20.33203125" style="1" customWidth="1"/>
    <col min="7" max="7" width="14.77734375" style="1" customWidth="1"/>
    <col min="8" max="8" width="13" style="1" customWidth="1"/>
    <col min="9" max="9" width="16.6640625" style="1" customWidth="1"/>
    <col min="10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371</v>
      </c>
    </row>
    <row r="6" spans="1:15" x14ac:dyDescent="0.3">
      <c r="A6" s="16" t="s">
        <v>372</v>
      </c>
    </row>
    <row r="8" spans="1:15" ht="16.8" x14ac:dyDescent="0.4">
      <c r="A8" s="50" t="s">
        <v>373</v>
      </c>
    </row>
    <row r="10" spans="1:15" ht="22.05" customHeight="1" x14ac:dyDescent="0.3">
      <c r="A10" s="126" t="s">
        <v>374</v>
      </c>
      <c r="B10" s="139"/>
      <c r="C10" s="130" t="s">
        <v>146</v>
      </c>
      <c r="D10" s="139"/>
      <c r="E10" s="130" t="s">
        <v>126</v>
      </c>
      <c r="F10" s="139"/>
      <c r="G10" s="130" t="s">
        <v>153</v>
      </c>
      <c r="H10" s="139"/>
    </row>
    <row r="11" spans="1:15" ht="40.049999999999997" customHeight="1" x14ac:dyDescent="0.75">
      <c r="A11" s="160">
        <f>COUNTIFS(Shipments[Status],"OTG")+COUNTIFS(Shipments[Status],"At FF")+COUNTIFS(Shipments[Status],"At Airline")</f>
        <v>5</v>
      </c>
      <c r="B11" s="159"/>
      <c r="C11" s="161">
        <f>COUNTIF(Shipments[Status],"OTG")</f>
        <v>1</v>
      </c>
      <c r="D11" s="162"/>
      <c r="E11" s="158">
        <f>COUNTIF(Shipments[Status],"At FF")</f>
        <v>3</v>
      </c>
      <c r="F11" s="159"/>
      <c r="G11" s="158">
        <f>COUNTIF(Shipments[Status],"At Airline")</f>
        <v>1</v>
      </c>
      <c r="H11" s="159"/>
    </row>
    <row r="13" spans="1:15" ht="16.8" x14ac:dyDescent="0.4">
      <c r="A13" s="50" t="s">
        <v>375</v>
      </c>
    </row>
    <row r="15" spans="1:15" x14ac:dyDescent="0.3">
      <c r="A15" s="21" t="s">
        <v>0</v>
      </c>
      <c r="B15" s="21" t="s">
        <v>1</v>
      </c>
      <c r="C15" s="21" t="s">
        <v>2</v>
      </c>
      <c r="D15" s="21" t="s">
        <v>3</v>
      </c>
      <c r="E15" s="21" t="s">
        <v>5</v>
      </c>
      <c r="F15" s="21" t="s">
        <v>9</v>
      </c>
      <c r="G15" s="21" t="s">
        <v>16</v>
      </c>
      <c r="H15" s="21" t="s">
        <v>362</v>
      </c>
      <c r="I15" s="21" t="s">
        <v>376</v>
      </c>
    </row>
    <row r="16" spans="1:15" x14ac:dyDescent="0.3">
      <c r="A16" s="22" t="str" cm="1">
        <f t="array" ref="A16:A20">IFERROR(_xlfn._xlws.FILTER(Shipments[Shipment ID], (Shipments[Status]="OTG")+(Shipments[Status]="At FF")+(Shipments[Status]="At Airline"), "No shipments in origin phase"),"No shipments in origin phase")</f>
        <v>SH-20260414-1043</v>
      </c>
      <c r="B16" s="22" t="str" cm="1">
        <f t="array" ref="B16:B20">IFERROR(_xlfn._xlws.FILTER(Shipments[Origin], (Shipments[Status]="OTG")+(Shipments[Status]="At FF")+(Shipments[Status]="At Airline"), ""),"")</f>
        <v>Luxshare</v>
      </c>
      <c r="C16" s="22" t="str" cm="1">
        <f t="array" ref="C16:C20">IFERROR(_xlfn._xlws.FILTER(Shipments[Status], (Shipments[Status]="OTG")+(Shipments[Status]="At FF")+(Shipments[Status]="At Airline"), ""),"")</f>
        <v>At FF</v>
      </c>
      <c r="D16" s="51" cm="1">
        <f t="array" ref="D16:D20">IFERROR(_xlfn._xlws.FILTER(Shipments[ETD], (Shipments[Status]="OTG")+(Shipments[Status]="At FF")+(Shipments[Status]="At Airline"), ""),"")</f>
        <v>46117</v>
      </c>
      <c r="E16" s="51" cm="1">
        <f t="array" ref="E16:E20">IFERROR(_xlfn._xlws.FILTER(Shipments[ETA], (Shipments[Status]="OTG")+(Shipments[Status]="At FF")+(Shipments[Status]="At Airline"), ""),"")</f>
        <v>46127</v>
      </c>
      <c r="F16" s="22" t="str" cm="1">
        <f t="array" ref="F16:F20">IFERROR(_xlfn._xlws.FILTER(Shipments[Carrier], (Shipments[Status]="OTG")+(Shipments[Status]="At FF")+(Shipments[Status]="At Airline"), ""),"")</f>
        <v>DB Schenker</v>
      </c>
      <c r="G16" s="23" cm="1">
        <f t="array" ref="G16:G20">IFERROR(_xlfn._xlws.FILTER(Shipments[RiskScoreCalc], (Shipments[Status]="OTG")+(Shipments[Status]="At FF")+(Shipments[Status]="At Airline"), ""),"")</f>
        <v>117.6</v>
      </c>
      <c r="H16" s="22" cm="1">
        <f t="array" ref="H16:H20">IFERROR(_xlfn._xlws.FILTER(Shipments[Final Mile SLA (hours)], (Shipments[Status]="OTG")+(Shipments[Status]="At FF")+(Shipments[Status]="At Airline"), ""),"")</f>
        <v>-22</v>
      </c>
      <c r="I16" s="22" t="str">
        <f>IFERROR(IF(G16&gt;70,"HIGH RISK",IF(G16&gt;40,"MEDIUM","LOW")),"")</f>
        <v>HIGH RISK</v>
      </c>
    </row>
    <row r="17" spans="1:9" x14ac:dyDescent="0.3">
      <c r="A17" s="22" t="str">
        <v>SH-20260418-1047</v>
      </c>
      <c r="B17" s="22" t="str">
        <v>Wistron</v>
      </c>
      <c r="C17" s="22" t="str">
        <v>At FF</v>
      </c>
      <c r="D17" s="22">
        <v>46114</v>
      </c>
      <c r="E17" s="22">
        <v>46124</v>
      </c>
      <c r="F17" s="22" t="str">
        <v>DB Schenker</v>
      </c>
      <c r="G17" s="22">
        <v>100</v>
      </c>
      <c r="H17" s="22">
        <v>91</v>
      </c>
      <c r="I17" s="22" t="str">
        <f>IFERROR(IF(G17&gt;70,"HIGH RISK",IF(G17&gt;40,"MEDIUM","LOW")),"")</f>
        <v>HIGH RISK</v>
      </c>
    </row>
    <row r="18" spans="1:9" x14ac:dyDescent="0.3">
      <c r="A18" s="22" t="str">
        <v>SH-20260423-1052</v>
      </c>
      <c r="B18" s="22" t="str">
        <v>BYD</v>
      </c>
      <c r="C18" s="22" t="str">
        <v>OTG</v>
      </c>
      <c r="D18" s="22">
        <v>46110</v>
      </c>
      <c r="E18" s="22">
        <v>46125</v>
      </c>
      <c r="F18" s="22" t="str">
        <v>Maersk</v>
      </c>
      <c r="G18" s="22">
        <v>100</v>
      </c>
      <c r="H18" s="22">
        <v>27</v>
      </c>
      <c r="I18" s="22" t="str">
        <f>IFERROR(IF(G18&gt;70,"HIGH RISK",IF(G18&gt;40,"MEDIUM","LOW")),"")</f>
        <v>HIGH RISK</v>
      </c>
    </row>
    <row r="19" spans="1:9" x14ac:dyDescent="0.3">
      <c r="A19" s="22" t="str">
        <v>SH-20260426-1055</v>
      </c>
      <c r="B19" s="22" t="str">
        <v>Wistron</v>
      </c>
      <c r="C19" s="22" t="str">
        <v>At Airline</v>
      </c>
      <c r="D19" s="22">
        <v>46113</v>
      </c>
      <c r="E19" s="22">
        <v>46126</v>
      </c>
      <c r="F19" s="22" t="str">
        <v>UPS</v>
      </c>
      <c r="G19" s="22">
        <v>100</v>
      </c>
      <c r="H19" s="22">
        <v>94</v>
      </c>
      <c r="I19" s="22" t="str">
        <f>IFERROR(IF(G19&gt;70,"HIGH RISK",IF(G19&gt;40,"MEDIUM","LOW")),"")</f>
        <v>HIGH RISK</v>
      </c>
    </row>
    <row r="20" spans="1:9" x14ac:dyDescent="0.3">
      <c r="A20" s="22" t="str">
        <v>SH-20260419-1078</v>
      </c>
      <c r="B20" s="22" t="str">
        <v>Luxshare</v>
      </c>
      <c r="C20" s="22" t="str">
        <v>At FF</v>
      </c>
      <c r="D20" s="22">
        <v>46109</v>
      </c>
      <c r="E20" s="22">
        <v>46125</v>
      </c>
      <c r="F20" s="22" t="str">
        <v>FedEx</v>
      </c>
      <c r="G20" s="22">
        <v>100</v>
      </c>
      <c r="H20" s="22">
        <v>106</v>
      </c>
      <c r="I20" s="22" t="str">
        <f>IFERROR(IF(G20&gt;70,"HIGH RISK",IF(G20&gt;40,"MEDIUM","LOW")),"")</f>
        <v>HIGH RISK</v>
      </c>
    </row>
    <row r="21" spans="1:9" x14ac:dyDescent="0.3">
      <c r="A21" s="22"/>
      <c r="B21" s="22"/>
      <c r="C21" s="22"/>
      <c r="D21" s="22"/>
      <c r="E21" s="22"/>
      <c r="F21" s="22"/>
      <c r="G21" s="22"/>
      <c r="H21" s="22"/>
      <c r="I21" s="22"/>
    </row>
    <row r="22" spans="1:9" x14ac:dyDescent="0.3">
      <c r="A22" s="22"/>
      <c r="B22" s="22"/>
      <c r="C22" s="22"/>
      <c r="D22" s="22"/>
      <c r="E22" s="22"/>
      <c r="F22" s="22"/>
      <c r="G22" s="22"/>
      <c r="H22" s="22"/>
      <c r="I22" s="22"/>
    </row>
    <row r="23" spans="1:9" x14ac:dyDescent="0.3">
      <c r="A23" s="22"/>
      <c r="B23" s="22"/>
      <c r="C23" s="22"/>
      <c r="D23" s="22"/>
      <c r="E23" s="22"/>
      <c r="F23" s="22"/>
      <c r="G23" s="22"/>
      <c r="H23" s="22"/>
      <c r="I23" s="22"/>
    </row>
    <row r="24" spans="1:9" x14ac:dyDescent="0.3">
      <c r="A24" s="22"/>
      <c r="B24" s="22"/>
      <c r="C24" s="22"/>
      <c r="D24" s="22"/>
      <c r="E24" s="22"/>
      <c r="F24" s="22"/>
      <c r="G24" s="22"/>
      <c r="H24" s="22"/>
      <c r="I24" s="22"/>
    </row>
    <row r="25" spans="1:9" x14ac:dyDescent="0.3">
      <c r="A25" s="22"/>
      <c r="B25" s="22"/>
      <c r="C25" s="22"/>
      <c r="D25" s="22"/>
      <c r="E25" s="22"/>
      <c r="F25" s="22"/>
      <c r="G25" s="22"/>
      <c r="H25" s="22"/>
      <c r="I25" s="22"/>
    </row>
  </sheetData>
  <sheetProtection sheet="1" objects="1" scenarios="1" sort="0" autoFilter="0" pivotTables="0"/>
  <mergeCells count="11">
    <mergeCell ref="G11:H11"/>
    <mergeCell ref="A1:N1"/>
    <mergeCell ref="A2:N2"/>
    <mergeCell ref="A3:N3"/>
    <mergeCell ref="A10:B10"/>
    <mergeCell ref="A11:B11"/>
    <mergeCell ref="C10:D10"/>
    <mergeCell ref="C11:D11"/>
    <mergeCell ref="E10:F10"/>
    <mergeCell ref="E11:F11"/>
    <mergeCell ref="G10:H10"/>
  </mergeCells>
  <conditionalFormatting sqref="I16:I25">
    <cfRule type="containsText" dxfId="8" priority="1" operator="containsText" text="HIGH">
      <formula>NOT(ISERROR(SEARCH("HIGH",I16)))</formula>
    </cfRule>
    <cfRule type="containsText" dxfId="7" priority="2" operator="containsText" text="MEDIUM">
      <formula>NOT(ISERROR(SEARCH("MEDIUM",I16)))</formula>
    </cfRule>
    <cfRule type="containsText" dxfId="6" priority="3" operator="containsText" text="LOW">
      <formula>NOT(ISERROR(SEARCH("LOW",I16)))</formula>
    </cfRule>
  </conditionalFormatting>
  <pageMargins left="0.7" right="0.7" top="0.75" bottom="0.75" header="0.3" footer="0.3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E0F0-F4C3-4F77-8913-C9D11C2DBB17}">
  <sheetPr>
    <tabColor rgb="FF0071E3"/>
    <pageSetUpPr fitToPage="1"/>
  </sheetPr>
  <dimension ref="A1:O90"/>
  <sheetViews>
    <sheetView tabSelected="1" zoomScale="66" workbookViewId="0">
      <selection activeCell="N13" sqref="N13"/>
    </sheetView>
  </sheetViews>
  <sheetFormatPr defaultRowHeight="14.4" x14ac:dyDescent="0.3"/>
  <cols>
    <col min="1" max="1" width="28.6640625" style="1" customWidth="1"/>
    <col min="2" max="2" width="16.6640625" style="1" customWidth="1"/>
    <col min="3" max="4" width="20.33203125" style="1" customWidth="1"/>
    <col min="5" max="5" width="18.5546875" style="1" customWidth="1"/>
    <col min="6" max="7" width="14.77734375" style="1" customWidth="1"/>
    <col min="8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377</v>
      </c>
    </row>
    <row r="6" spans="1:15" x14ac:dyDescent="0.3">
      <c r="A6" s="16" t="s">
        <v>378</v>
      </c>
    </row>
    <row r="8" spans="1:15" ht="16.8" x14ac:dyDescent="0.4">
      <c r="A8" s="50" t="s">
        <v>379</v>
      </c>
    </row>
    <row r="10" spans="1:15" ht="22.05" customHeight="1" x14ac:dyDescent="0.3">
      <c r="A10" s="126" t="s">
        <v>380</v>
      </c>
      <c r="B10" s="127"/>
      <c r="C10" s="130" t="s">
        <v>381</v>
      </c>
      <c r="D10" s="127"/>
      <c r="E10" s="130" t="s">
        <v>382</v>
      </c>
      <c r="F10" s="127"/>
    </row>
    <row r="11" spans="1:15" ht="40.049999999999997" customHeight="1" x14ac:dyDescent="0.75">
      <c r="A11" s="128">
        <f>COUNTIF(Shipments[AllocationCompliance],"Compliant")</f>
        <v>77</v>
      </c>
      <c r="B11" s="129"/>
      <c r="C11" s="131">
        <f>COUNTIF(Shipments[AllocationCompliance],"Liability Risk")</f>
        <v>73</v>
      </c>
      <c r="D11" s="132"/>
      <c r="E11" s="133">
        <f>COUNTIF(Shipments[AllocationCompliance],"Compliant")/COUNTA(Shipments[Shipment ID])</f>
        <v>0.51333333333333331</v>
      </c>
      <c r="F11" s="134"/>
    </row>
    <row r="13" spans="1:15" ht="16.8" x14ac:dyDescent="0.4">
      <c r="A13" s="52" t="s">
        <v>383</v>
      </c>
    </row>
    <row r="15" spans="1:15" x14ac:dyDescent="0.3">
      <c r="A15" s="21" t="s">
        <v>0</v>
      </c>
      <c r="B15" s="21" t="s">
        <v>1</v>
      </c>
      <c r="C15" s="21" t="s">
        <v>9</v>
      </c>
      <c r="D15" s="21" t="s">
        <v>11</v>
      </c>
      <c r="E15" s="21" t="s">
        <v>384</v>
      </c>
      <c r="F15" s="21" t="s">
        <v>2</v>
      </c>
      <c r="G15" s="21" t="s">
        <v>16</v>
      </c>
    </row>
    <row r="16" spans="1:15" x14ac:dyDescent="0.3">
      <c r="A16" s="47" t="str" cm="1">
        <f t="array" ref="A16:A88">IFERROR(_xlfn._xlws.FILTER(Shipments[Shipment ID], Shipments[AllocationCompliance]="Liability Risk", "No liability risks"),"No liability risks")</f>
        <v>SH-20260402-1001</v>
      </c>
      <c r="B16" s="47" t="str" cm="1">
        <f t="array" ref="B16:B88">IFERROR(_xlfn._xlws.FILTER(Shipments[Origin], Shipments[AllocationCompliance]="Liability Risk", ""),"")</f>
        <v>Compal</v>
      </c>
      <c r="C16" s="47" t="str" cm="1">
        <f t="array" ref="C16:C88">IFERROR(_xlfn._xlws.FILTER(Shipments[Carrier], Shipments[AllocationCompliance]="Liability Risk", ""),"")</f>
        <v>UPS</v>
      </c>
      <c r="D16" s="47" t="str" cm="1">
        <f t="array" ref="D16:D88">IFERROR(_xlfn._xlws.FILTER(Shipments[Allocation Type], Shipments[AllocationCompliance]="Liability Risk", ""),"")</f>
        <v>AppleCare</v>
      </c>
      <c r="E16" s="47" t="str" cm="1">
        <f t="array" ref="E16:E88">IFERROR(_xlfn._xlws.FILTER(Shipments[AllocationCompliance], Shipments[AllocationCompliance]="Liability Risk", ""),"")</f>
        <v>Liability Risk</v>
      </c>
      <c r="F16" s="47" t="str" cm="1">
        <f t="array" ref="F16:F88">IFERROR(_xlfn._xlws.FILTER(Shipments[Status], Shipments[AllocationCompliance]="Liability Risk", ""),"")</f>
        <v>Delivered</v>
      </c>
      <c r="G16" s="49" cm="1">
        <f t="array" ref="G16:G88">IFERROR(_xlfn._xlws.FILTER(Shipments[RiskScoreCalc], Shipments[AllocationCompliance]="Liability Risk", ""),"")</f>
        <v>100</v>
      </c>
    </row>
    <row r="17" spans="1:7" x14ac:dyDescent="0.3">
      <c r="A17" s="47" t="str">
        <v>SH-20260403-1002</v>
      </c>
      <c r="B17" s="47" t="str">
        <v>Wistron</v>
      </c>
      <c r="C17" s="47" t="str">
        <v>DHL</v>
      </c>
      <c r="D17" s="47" t="str">
        <v>AppleCare</v>
      </c>
      <c r="E17" s="47" t="str">
        <v>Liability Risk</v>
      </c>
      <c r="F17" s="47" t="str">
        <v>Delivered</v>
      </c>
      <c r="G17" s="47">
        <v>100</v>
      </c>
    </row>
    <row r="18" spans="1:7" x14ac:dyDescent="0.3">
      <c r="A18" s="47" t="str">
        <v>SH-20260404-1003</v>
      </c>
      <c r="B18" s="47" t="str">
        <v>Foxconn</v>
      </c>
      <c r="C18" s="47" t="str">
        <v>Kuehne+Nagel</v>
      </c>
      <c r="D18" s="47" t="str">
        <v>AppleCare</v>
      </c>
      <c r="E18" s="47" t="str">
        <v>Liability Risk</v>
      </c>
      <c r="F18" s="47" t="str">
        <v>Delivered</v>
      </c>
      <c r="G18" s="47">
        <v>100</v>
      </c>
    </row>
    <row r="19" spans="1:7" x14ac:dyDescent="0.3">
      <c r="A19" s="47" t="str">
        <v>SH-20260406-1005</v>
      </c>
      <c r="B19" s="47" t="str">
        <v>Luxshare</v>
      </c>
      <c r="C19" s="47" t="str">
        <v>FedEx</v>
      </c>
      <c r="D19" s="47" t="str">
        <v>AppleCare</v>
      </c>
      <c r="E19" s="47" t="str">
        <v>Liability Risk</v>
      </c>
      <c r="F19" s="47" t="str">
        <v>Delivered</v>
      </c>
      <c r="G19" s="47">
        <v>110.4</v>
      </c>
    </row>
    <row r="20" spans="1:7" x14ac:dyDescent="0.3">
      <c r="A20" s="47" t="str">
        <v>SH-20260407-1006</v>
      </c>
      <c r="B20" s="47" t="str">
        <v>Foxconn</v>
      </c>
      <c r="C20" s="47" t="str">
        <v>Kuehne+Nagel</v>
      </c>
      <c r="D20" s="47" t="str">
        <v>AppleCare</v>
      </c>
      <c r="E20" s="47" t="str">
        <v>Liability Risk</v>
      </c>
      <c r="F20" s="47" t="str">
        <v>Delivered</v>
      </c>
      <c r="G20" s="47">
        <v>100</v>
      </c>
    </row>
    <row r="21" spans="1:7" x14ac:dyDescent="0.3">
      <c r="A21" s="47" t="str">
        <v>SH-20260410-1009</v>
      </c>
      <c r="B21" s="47" t="str">
        <v>Compal</v>
      </c>
      <c r="C21" s="47" t="str">
        <v>Maersk</v>
      </c>
      <c r="D21" s="47" t="str">
        <v>AppleCare</v>
      </c>
      <c r="E21" s="47" t="str">
        <v>Liability Risk</v>
      </c>
      <c r="F21" s="47" t="str">
        <v>Delivered</v>
      </c>
      <c r="G21" s="47">
        <v>135</v>
      </c>
    </row>
    <row r="22" spans="1:7" x14ac:dyDescent="0.3">
      <c r="A22" s="47" t="str">
        <v>SH-20260414-1013</v>
      </c>
      <c r="B22" s="47" t="str">
        <v>Luxshare</v>
      </c>
      <c r="C22" s="47" t="str">
        <v>Maersk</v>
      </c>
      <c r="D22" s="47" t="str">
        <v>AppleCare</v>
      </c>
      <c r="E22" s="47" t="str">
        <v>Liability Risk</v>
      </c>
      <c r="F22" s="47" t="str">
        <v>Delivered</v>
      </c>
      <c r="G22" s="47">
        <v>126.4</v>
      </c>
    </row>
    <row r="23" spans="1:7" x14ac:dyDescent="0.3">
      <c r="A23" s="47" t="str">
        <v>SH-20260416-1015</v>
      </c>
      <c r="B23" s="47" t="str">
        <v>Pegatron</v>
      </c>
      <c r="C23" s="47" t="str">
        <v>Maersk</v>
      </c>
      <c r="D23" s="47" t="str">
        <v>AppleCare</v>
      </c>
      <c r="E23" s="47" t="str">
        <v>Liability Risk</v>
      </c>
      <c r="F23" s="47" t="str">
        <v>Delivered</v>
      </c>
      <c r="G23" s="47">
        <v>100</v>
      </c>
    </row>
    <row r="24" spans="1:7" x14ac:dyDescent="0.3">
      <c r="A24" s="47" t="str">
        <v>SH-20260418-1017</v>
      </c>
      <c r="B24" s="47" t="str">
        <v>Wistron</v>
      </c>
      <c r="C24" s="47" t="str">
        <v>DB Schenker</v>
      </c>
      <c r="D24" s="47" t="str">
        <v>AppleCare</v>
      </c>
      <c r="E24" s="47" t="str">
        <v>Liability Risk</v>
      </c>
      <c r="F24" s="47" t="str">
        <v>Delivered</v>
      </c>
      <c r="G24" s="47">
        <v>112</v>
      </c>
    </row>
    <row r="25" spans="1:7" x14ac:dyDescent="0.3">
      <c r="A25" s="47" t="str">
        <v>SH-20260424-1023</v>
      </c>
      <c r="B25" s="47" t="str">
        <v>Luxshare</v>
      </c>
      <c r="C25" s="47" t="str">
        <v>UPS</v>
      </c>
      <c r="D25" s="47" t="str">
        <v>AppleCare</v>
      </c>
      <c r="E25" s="47" t="str">
        <v>Liability Risk</v>
      </c>
      <c r="F25" s="47" t="str">
        <v>Delivered</v>
      </c>
      <c r="G25" s="47">
        <v>100</v>
      </c>
    </row>
    <row r="26" spans="1:7" x14ac:dyDescent="0.3">
      <c r="A26" s="47" t="str">
        <v>SH-20260427-1026</v>
      </c>
      <c r="B26" s="47" t="str">
        <v>BYD</v>
      </c>
      <c r="C26" s="47" t="str">
        <v>Maersk</v>
      </c>
      <c r="D26" s="47" t="str">
        <v>AppleCare</v>
      </c>
      <c r="E26" s="47" t="str">
        <v>Liability Risk</v>
      </c>
      <c r="F26" s="47" t="str">
        <v>Delivered</v>
      </c>
      <c r="G26" s="47">
        <v>100</v>
      </c>
    </row>
    <row r="27" spans="1:7" x14ac:dyDescent="0.3">
      <c r="A27" s="47" t="str">
        <v>SH-20260428-1027</v>
      </c>
      <c r="B27" s="47" t="str">
        <v>Wistron</v>
      </c>
      <c r="C27" s="47" t="str">
        <v>Maersk</v>
      </c>
      <c r="D27" s="47" t="str">
        <v>AppleCare</v>
      </c>
      <c r="E27" s="47" t="str">
        <v>Liability Risk</v>
      </c>
      <c r="F27" s="47" t="str">
        <v>Delivered</v>
      </c>
      <c r="G27" s="47">
        <v>125.6</v>
      </c>
    </row>
    <row r="28" spans="1:7" x14ac:dyDescent="0.3">
      <c r="A28" s="47" t="str">
        <v>SH-20260430-1029</v>
      </c>
      <c r="B28" s="47" t="str">
        <v>Compal</v>
      </c>
      <c r="C28" s="47" t="str">
        <v>UPS</v>
      </c>
      <c r="D28" s="47" t="str">
        <v>AppleCare</v>
      </c>
      <c r="E28" s="47" t="str">
        <v>Liability Risk</v>
      </c>
      <c r="F28" s="47" t="str">
        <v>Exception</v>
      </c>
      <c r="G28" s="47">
        <v>100</v>
      </c>
    </row>
    <row r="29" spans="1:7" x14ac:dyDescent="0.3">
      <c r="A29" s="47" t="str">
        <v>SH-20260401-1030</v>
      </c>
      <c r="B29" s="47" t="str">
        <v>Luxshare</v>
      </c>
      <c r="C29" s="47" t="str">
        <v>Maersk</v>
      </c>
      <c r="D29" s="47" t="str">
        <v>AppleCare</v>
      </c>
      <c r="E29" s="47" t="str">
        <v>Liability Risk</v>
      </c>
      <c r="F29" s="47" t="str">
        <v>Delivered</v>
      </c>
      <c r="G29" s="47">
        <v>135</v>
      </c>
    </row>
    <row r="30" spans="1:7" x14ac:dyDescent="0.3">
      <c r="A30" s="47" t="str">
        <v>SH-20260405-1034</v>
      </c>
      <c r="B30" s="47" t="str">
        <v>Foxconn</v>
      </c>
      <c r="C30" s="47" t="str">
        <v>Maersk</v>
      </c>
      <c r="D30" s="47" t="str">
        <v>AppleCare</v>
      </c>
      <c r="E30" s="47" t="str">
        <v>Liability Risk</v>
      </c>
      <c r="F30" s="47" t="str">
        <v>Delivered</v>
      </c>
      <c r="G30" s="47">
        <v>100</v>
      </c>
    </row>
    <row r="31" spans="1:7" x14ac:dyDescent="0.3">
      <c r="A31" s="47" t="str">
        <v>SH-20260406-1035</v>
      </c>
      <c r="B31" s="47" t="str">
        <v>Foxconn</v>
      </c>
      <c r="C31" s="47" t="str">
        <v>FedEx</v>
      </c>
      <c r="D31" s="47" t="str">
        <v>AppleCare</v>
      </c>
      <c r="E31" s="47" t="str">
        <v>Liability Risk</v>
      </c>
      <c r="F31" s="47" t="str">
        <v>Delivered</v>
      </c>
      <c r="G31" s="47">
        <v>100</v>
      </c>
    </row>
    <row r="32" spans="1:7" x14ac:dyDescent="0.3">
      <c r="A32" s="47" t="str">
        <v>SH-20260407-1036</v>
      </c>
      <c r="B32" s="47" t="str">
        <v>Compal</v>
      </c>
      <c r="C32" s="47" t="str">
        <v>DB Schenker</v>
      </c>
      <c r="D32" s="47" t="str">
        <v>AppleCare</v>
      </c>
      <c r="E32" s="47" t="str">
        <v>Liability Risk</v>
      </c>
      <c r="F32" s="47" t="str">
        <v>Delivered</v>
      </c>
      <c r="G32" s="47">
        <v>114.4</v>
      </c>
    </row>
    <row r="33" spans="1:7" x14ac:dyDescent="0.3">
      <c r="A33" s="47" t="str">
        <v>SH-20260408-1037</v>
      </c>
      <c r="B33" s="47" t="str">
        <v>BYD</v>
      </c>
      <c r="C33" s="47" t="str">
        <v>DB Schenker</v>
      </c>
      <c r="D33" s="47" t="str">
        <v>AppleCare</v>
      </c>
      <c r="E33" s="47" t="str">
        <v>Liability Risk</v>
      </c>
      <c r="F33" s="47" t="str">
        <v>Delivered</v>
      </c>
      <c r="G33" s="47">
        <v>112.8</v>
      </c>
    </row>
    <row r="34" spans="1:7" x14ac:dyDescent="0.3">
      <c r="A34" s="47" t="str">
        <v>SH-20260409-1038</v>
      </c>
      <c r="B34" s="47" t="str">
        <v>Foxconn</v>
      </c>
      <c r="C34" s="47" t="str">
        <v>DB Schenker</v>
      </c>
      <c r="D34" s="47" t="str">
        <v>AppleCare</v>
      </c>
      <c r="E34" s="47" t="str">
        <v>Liability Risk</v>
      </c>
      <c r="F34" s="47" t="str">
        <v>Delivered</v>
      </c>
      <c r="G34" s="47">
        <v>115.2</v>
      </c>
    </row>
    <row r="35" spans="1:7" x14ac:dyDescent="0.3">
      <c r="A35" s="47" t="str">
        <v>SH-20260413-1042</v>
      </c>
      <c r="B35" s="47" t="str">
        <v>Wistron</v>
      </c>
      <c r="C35" s="47" t="str">
        <v>DB Schenker</v>
      </c>
      <c r="D35" s="47" t="str">
        <v>AppleCare</v>
      </c>
      <c r="E35" s="47" t="str">
        <v>Liability Risk</v>
      </c>
      <c r="F35" s="47" t="str">
        <v>Delivered</v>
      </c>
      <c r="G35" s="47">
        <v>100</v>
      </c>
    </row>
    <row r="36" spans="1:7" x14ac:dyDescent="0.3">
      <c r="A36" s="47" t="str">
        <v>SH-20260414-1043</v>
      </c>
      <c r="B36" s="47" t="str">
        <v>Luxshare</v>
      </c>
      <c r="C36" s="47" t="str">
        <v>DB Schenker</v>
      </c>
      <c r="D36" s="47" t="str">
        <v>AppleCare</v>
      </c>
      <c r="E36" s="47" t="str">
        <v>Liability Risk</v>
      </c>
      <c r="F36" s="47" t="str">
        <v>At FF</v>
      </c>
      <c r="G36" s="47">
        <v>117.6</v>
      </c>
    </row>
    <row r="37" spans="1:7" x14ac:dyDescent="0.3">
      <c r="A37" s="47" t="str">
        <v>SH-20260415-1044</v>
      </c>
      <c r="B37" s="47" t="str">
        <v>Luxshare</v>
      </c>
      <c r="C37" s="47" t="str">
        <v>DHL</v>
      </c>
      <c r="D37" s="47" t="str">
        <v>AppleCare</v>
      </c>
      <c r="E37" s="47" t="str">
        <v>Liability Risk</v>
      </c>
      <c r="F37" s="47" t="str">
        <v>Delivered</v>
      </c>
      <c r="G37" s="47">
        <v>100</v>
      </c>
    </row>
    <row r="38" spans="1:7" x14ac:dyDescent="0.3">
      <c r="A38" s="47" t="str">
        <v>SH-20260418-1047</v>
      </c>
      <c r="B38" s="47" t="str">
        <v>Wistron</v>
      </c>
      <c r="C38" s="47" t="str">
        <v>DB Schenker</v>
      </c>
      <c r="D38" s="47" t="str">
        <v>AppleCare</v>
      </c>
      <c r="E38" s="47" t="str">
        <v>Liability Risk</v>
      </c>
      <c r="F38" s="47" t="str">
        <v>At FF</v>
      </c>
      <c r="G38" s="47">
        <v>100</v>
      </c>
    </row>
    <row r="39" spans="1:7" x14ac:dyDescent="0.3">
      <c r="A39" s="47" t="str">
        <v>SH-20260419-1048</v>
      </c>
      <c r="B39" s="47" t="str">
        <v>Luxshare</v>
      </c>
      <c r="C39" s="47" t="str">
        <v>DHL</v>
      </c>
      <c r="D39" s="47" t="str">
        <v>AppleCare</v>
      </c>
      <c r="E39" s="47" t="str">
        <v>Liability Risk</v>
      </c>
      <c r="F39" s="47" t="str">
        <v>Delivered</v>
      </c>
      <c r="G39" s="47">
        <v>100</v>
      </c>
    </row>
    <row r="40" spans="1:7" x14ac:dyDescent="0.3">
      <c r="A40" s="47" t="str">
        <v>SH-20260423-1052</v>
      </c>
      <c r="B40" s="47" t="str">
        <v>BYD</v>
      </c>
      <c r="C40" s="47" t="str">
        <v>Maersk</v>
      </c>
      <c r="D40" s="47" t="str">
        <v>AppleCare</v>
      </c>
      <c r="E40" s="47" t="str">
        <v>Liability Risk</v>
      </c>
      <c r="F40" s="47" t="str">
        <v>OTG</v>
      </c>
      <c r="G40" s="47">
        <v>100</v>
      </c>
    </row>
    <row r="41" spans="1:7" x14ac:dyDescent="0.3">
      <c r="A41" s="47" t="str">
        <v>SH-20260424-1053</v>
      </c>
      <c r="B41" s="47" t="str">
        <v>Compal</v>
      </c>
      <c r="C41" s="47" t="str">
        <v>DHL</v>
      </c>
      <c r="D41" s="47" t="str">
        <v>AppleCare</v>
      </c>
      <c r="E41" s="47" t="str">
        <v>Liability Risk</v>
      </c>
      <c r="F41" s="47" t="str">
        <v>Delivered</v>
      </c>
      <c r="G41" s="47">
        <v>100</v>
      </c>
    </row>
    <row r="42" spans="1:7" x14ac:dyDescent="0.3">
      <c r="A42" s="47" t="str">
        <v>SH-20260425-1054</v>
      </c>
      <c r="B42" s="47" t="str">
        <v>Luxshare</v>
      </c>
      <c r="C42" s="47" t="str">
        <v>DHL</v>
      </c>
      <c r="D42" s="47" t="str">
        <v>AppleCare</v>
      </c>
      <c r="E42" s="47" t="str">
        <v>Liability Risk</v>
      </c>
      <c r="F42" s="47" t="str">
        <v>Delivered</v>
      </c>
      <c r="G42" s="47">
        <v>100</v>
      </c>
    </row>
    <row r="43" spans="1:7" x14ac:dyDescent="0.3">
      <c r="A43" s="47" t="str">
        <v>SH-20260426-1055</v>
      </c>
      <c r="B43" s="47" t="str">
        <v>Wistron</v>
      </c>
      <c r="C43" s="47" t="str">
        <v>UPS</v>
      </c>
      <c r="D43" s="47" t="str">
        <v>AppleCare</v>
      </c>
      <c r="E43" s="47" t="str">
        <v>Liability Risk</v>
      </c>
      <c r="F43" s="47" t="str">
        <v>At Airline</v>
      </c>
      <c r="G43" s="47">
        <v>100</v>
      </c>
    </row>
    <row r="44" spans="1:7" x14ac:dyDescent="0.3">
      <c r="A44" s="47" t="str">
        <v>SH-20260427-1056</v>
      </c>
      <c r="B44" s="47" t="str">
        <v>BYD</v>
      </c>
      <c r="C44" s="47" t="str">
        <v>Kuehne+Nagel</v>
      </c>
      <c r="D44" s="47" t="str">
        <v>AppleCare</v>
      </c>
      <c r="E44" s="47" t="str">
        <v>Liability Risk</v>
      </c>
      <c r="F44" s="47" t="str">
        <v>Delivered</v>
      </c>
      <c r="G44" s="47">
        <v>135</v>
      </c>
    </row>
    <row r="45" spans="1:7" x14ac:dyDescent="0.3">
      <c r="A45" s="47" t="str">
        <v>SH-20260429-1058</v>
      </c>
      <c r="B45" s="47" t="str">
        <v>Luxshare</v>
      </c>
      <c r="C45" s="47" t="str">
        <v>FedEx</v>
      </c>
      <c r="D45" s="47" t="str">
        <v>AppleCare</v>
      </c>
      <c r="E45" s="47" t="str">
        <v>Liability Risk</v>
      </c>
      <c r="F45" s="47" t="str">
        <v>Delivered</v>
      </c>
      <c r="G45" s="47">
        <v>100</v>
      </c>
    </row>
    <row r="46" spans="1:7" x14ac:dyDescent="0.3">
      <c r="A46" s="47" t="str">
        <v>SH-20260401-1060</v>
      </c>
      <c r="B46" s="47" t="str">
        <v>Wistron</v>
      </c>
      <c r="C46" s="47" t="str">
        <v>FedEx</v>
      </c>
      <c r="D46" s="47" t="str">
        <v>AppleCare</v>
      </c>
      <c r="E46" s="47" t="str">
        <v>Liability Risk</v>
      </c>
      <c r="F46" s="47" t="str">
        <v>Delivered</v>
      </c>
      <c r="G46" s="47">
        <v>100</v>
      </c>
    </row>
    <row r="47" spans="1:7" x14ac:dyDescent="0.3">
      <c r="A47" s="47" t="str">
        <v>SH-20260402-1061</v>
      </c>
      <c r="B47" s="47" t="str">
        <v>Compal</v>
      </c>
      <c r="C47" s="47" t="str">
        <v>DB Schenker</v>
      </c>
      <c r="D47" s="47" t="str">
        <v>AppleCare</v>
      </c>
      <c r="E47" s="47" t="str">
        <v>Liability Risk</v>
      </c>
      <c r="F47" s="47" t="str">
        <v>Delivered</v>
      </c>
      <c r="G47" s="47">
        <v>100</v>
      </c>
    </row>
    <row r="48" spans="1:7" x14ac:dyDescent="0.3">
      <c r="A48" s="47" t="str">
        <v>SH-20260403-1062</v>
      </c>
      <c r="B48" s="47" t="str">
        <v>Compal</v>
      </c>
      <c r="C48" s="47" t="str">
        <v>Maersk</v>
      </c>
      <c r="D48" s="47" t="str">
        <v>AppleCare</v>
      </c>
      <c r="E48" s="47" t="str">
        <v>Liability Risk</v>
      </c>
      <c r="F48" s="47" t="str">
        <v>Delivered</v>
      </c>
      <c r="G48" s="47">
        <v>100</v>
      </c>
    </row>
    <row r="49" spans="1:7" x14ac:dyDescent="0.3">
      <c r="A49" s="47" t="str">
        <v>SH-20260405-1064</v>
      </c>
      <c r="B49" s="47" t="str">
        <v>BYD</v>
      </c>
      <c r="C49" s="47" t="str">
        <v>DB Schenker</v>
      </c>
      <c r="D49" s="47" t="str">
        <v>AppleCare</v>
      </c>
      <c r="E49" s="47" t="str">
        <v>Liability Risk</v>
      </c>
      <c r="F49" s="47" t="str">
        <v>Delivered</v>
      </c>
      <c r="G49" s="47">
        <v>100</v>
      </c>
    </row>
    <row r="50" spans="1:7" x14ac:dyDescent="0.3">
      <c r="A50" s="47" t="str">
        <v>SH-20260408-1067</v>
      </c>
      <c r="B50" s="47" t="str">
        <v>Luxshare</v>
      </c>
      <c r="C50" s="47" t="str">
        <v>Kuehne+Nagel</v>
      </c>
      <c r="D50" s="47" t="str">
        <v>AppleCare</v>
      </c>
      <c r="E50" s="47" t="str">
        <v>Liability Risk</v>
      </c>
      <c r="F50" s="47" t="str">
        <v>Delivered</v>
      </c>
      <c r="G50" s="47">
        <v>100</v>
      </c>
    </row>
    <row r="51" spans="1:7" x14ac:dyDescent="0.3">
      <c r="A51" s="47" t="str">
        <v>SH-20260409-1068</v>
      </c>
      <c r="B51" s="47" t="str">
        <v>Pegatron</v>
      </c>
      <c r="C51" s="47" t="str">
        <v>FedEx</v>
      </c>
      <c r="D51" s="47" t="str">
        <v>AppleCare</v>
      </c>
      <c r="E51" s="47" t="str">
        <v>Liability Risk</v>
      </c>
      <c r="F51" s="47" t="str">
        <v>Delivered</v>
      </c>
      <c r="G51" s="47">
        <v>100</v>
      </c>
    </row>
    <row r="52" spans="1:7" x14ac:dyDescent="0.3">
      <c r="A52" s="47" t="str">
        <v>SH-20260410-1069</v>
      </c>
      <c r="B52" s="47" t="str">
        <v>Luxshare</v>
      </c>
      <c r="C52" s="47" t="str">
        <v>DHL</v>
      </c>
      <c r="D52" s="47" t="str">
        <v>AppleCare</v>
      </c>
      <c r="E52" s="47" t="str">
        <v>Liability Risk</v>
      </c>
      <c r="F52" s="47" t="str">
        <v>Delivered</v>
      </c>
      <c r="G52" s="47">
        <v>100</v>
      </c>
    </row>
    <row r="53" spans="1:7" x14ac:dyDescent="0.3">
      <c r="A53" s="47" t="str">
        <v>SH-20260413-1072</v>
      </c>
      <c r="B53" s="47" t="str">
        <v>Luxshare</v>
      </c>
      <c r="C53" s="47" t="str">
        <v>DHL</v>
      </c>
      <c r="D53" s="47" t="str">
        <v>AppleCare</v>
      </c>
      <c r="E53" s="47" t="str">
        <v>Liability Risk</v>
      </c>
      <c r="F53" s="47" t="str">
        <v>Delivered</v>
      </c>
      <c r="G53" s="47">
        <v>135</v>
      </c>
    </row>
    <row r="54" spans="1:7" x14ac:dyDescent="0.3">
      <c r="A54" s="47" t="str">
        <v>SH-20260416-1075</v>
      </c>
      <c r="B54" s="47" t="str">
        <v>BYD</v>
      </c>
      <c r="C54" s="47" t="str">
        <v>FedEx</v>
      </c>
      <c r="D54" s="47" t="str">
        <v>AppleCare</v>
      </c>
      <c r="E54" s="47" t="str">
        <v>Liability Risk</v>
      </c>
      <c r="F54" s="47" t="str">
        <v>Delivered</v>
      </c>
      <c r="G54" s="47">
        <v>121.6</v>
      </c>
    </row>
    <row r="55" spans="1:7" x14ac:dyDescent="0.3">
      <c r="A55" s="47" t="str">
        <v>SH-20260417-1076</v>
      </c>
      <c r="B55" s="47" t="str">
        <v>Wistron</v>
      </c>
      <c r="C55" s="47" t="str">
        <v>DHL</v>
      </c>
      <c r="D55" s="47" t="str">
        <v>AppleCare</v>
      </c>
      <c r="E55" s="47" t="str">
        <v>Liability Risk</v>
      </c>
      <c r="F55" s="47" t="str">
        <v>Delivered</v>
      </c>
      <c r="G55" s="47">
        <v>107.2</v>
      </c>
    </row>
    <row r="56" spans="1:7" x14ac:dyDescent="0.3">
      <c r="A56" s="47" t="str">
        <v>SH-20260418-1077</v>
      </c>
      <c r="B56" s="47" t="str">
        <v>BYD</v>
      </c>
      <c r="C56" s="47" t="str">
        <v>FedEx</v>
      </c>
      <c r="D56" s="47" t="str">
        <v>AppleCare</v>
      </c>
      <c r="E56" s="47" t="str">
        <v>Liability Risk</v>
      </c>
      <c r="F56" s="47" t="str">
        <v>Delivered</v>
      </c>
      <c r="G56" s="47">
        <v>100</v>
      </c>
    </row>
    <row r="57" spans="1:7" x14ac:dyDescent="0.3">
      <c r="A57" s="47" t="str">
        <v>SH-20260419-1078</v>
      </c>
      <c r="B57" s="47" t="str">
        <v>Luxshare</v>
      </c>
      <c r="C57" s="47" t="str">
        <v>FedEx</v>
      </c>
      <c r="D57" s="47" t="str">
        <v>AppleCare</v>
      </c>
      <c r="E57" s="47" t="str">
        <v>Liability Risk</v>
      </c>
      <c r="F57" s="47" t="str">
        <v>At FF</v>
      </c>
      <c r="G57" s="47">
        <v>100</v>
      </c>
    </row>
    <row r="58" spans="1:7" x14ac:dyDescent="0.3">
      <c r="A58" s="47" t="str">
        <v>SH-20260422-1081</v>
      </c>
      <c r="B58" s="47" t="str">
        <v>Pegatron</v>
      </c>
      <c r="C58" s="47" t="str">
        <v>DB Schenker</v>
      </c>
      <c r="D58" s="47" t="str">
        <v>AppleCare</v>
      </c>
      <c r="E58" s="47" t="str">
        <v>Liability Risk</v>
      </c>
      <c r="F58" s="47" t="str">
        <v>Delivered</v>
      </c>
      <c r="G58" s="47">
        <v>100</v>
      </c>
    </row>
    <row r="59" spans="1:7" x14ac:dyDescent="0.3">
      <c r="A59" s="47" t="str">
        <v>SH-20260423-1082</v>
      </c>
      <c r="B59" s="47" t="str">
        <v>Pegatron</v>
      </c>
      <c r="C59" s="47" t="str">
        <v>Maersk</v>
      </c>
      <c r="D59" s="47" t="str">
        <v>AppleCare</v>
      </c>
      <c r="E59" s="47" t="str">
        <v>Liability Risk</v>
      </c>
      <c r="F59" s="47" t="str">
        <v>Delivered</v>
      </c>
      <c r="G59" s="47">
        <v>135</v>
      </c>
    </row>
    <row r="60" spans="1:7" x14ac:dyDescent="0.3">
      <c r="A60" s="47" t="str">
        <v>SH-20260425-1084</v>
      </c>
      <c r="B60" s="47" t="str">
        <v>Pegatron</v>
      </c>
      <c r="C60" s="47" t="str">
        <v>DHL</v>
      </c>
      <c r="D60" s="47" t="str">
        <v>AppleCare</v>
      </c>
      <c r="E60" s="47" t="str">
        <v>Liability Risk</v>
      </c>
      <c r="F60" s="47" t="str">
        <v>Delivered</v>
      </c>
      <c r="G60" s="47">
        <v>100</v>
      </c>
    </row>
    <row r="61" spans="1:7" x14ac:dyDescent="0.3">
      <c r="A61" s="47" t="str">
        <v>SH-20260426-1085</v>
      </c>
      <c r="B61" s="47" t="str">
        <v>Foxconn</v>
      </c>
      <c r="C61" s="47" t="str">
        <v>UPS</v>
      </c>
      <c r="D61" s="47" t="str">
        <v>AppleCare</v>
      </c>
      <c r="E61" s="47" t="str">
        <v>Liability Risk</v>
      </c>
      <c r="F61" s="47" t="str">
        <v>Delivered</v>
      </c>
      <c r="G61" s="47">
        <v>100</v>
      </c>
    </row>
    <row r="62" spans="1:7" x14ac:dyDescent="0.3">
      <c r="A62" s="47" t="str">
        <v>SH-20260428-1087</v>
      </c>
      <c r="B62" s="47" t="str">
        <v>Foxconn</v>
      </c>
      <c r="C62" s="47" t="str">
        <v>DHL</v>
      </c>
      <c r="D62" s="47" t="str">
        <v>AppleCare</v>
      </c>
      <c r="E62" s="47" t="str">
        <v>Liability Risk</v>
      </c>
      <c r="F62" s="47" t="str">
        <v>Delivered</v>
      </c>
      <c r="G62" s="47">
        <v>100</v>
      </c>
    </row>
    <row r="63" spans="1:7" x14ac:dyDescent="0.3">
      <c r="A63" s="47" t="str">
        <v>SH-20260429-1088</v>
      </c>
      <c r="B63" s="47" t="str">
        <v>BYD</v>
      </c>
      <c r="C63" s="47" t="str">
        <v>FedEx</v>
      </c>
      <c r="D63" s="47" t="str">
        <v>AppleCare</v>
      </c>
      <c r="E63" s="47" t="str">
        <v>Liability Risk</v>
      </c>
      <c r="F63" s="47" t="str">
        <v>Delivered</v>
      </c>
      <c r="G63" s="47">
        <v>100</v>
      </c>
    </row>
    <row r="64" spans="1:7" x14ac:dyDescent="0.3">
      <c r="A64" s="47" t="str">
        <v>SH-20260402-1091</v>
      </c>
      <c r="B64" s="47" t="str">
        <v>Compal</v>
      </c>
      <c r="C64" s="47" t="str">
        <v>UPS</v>
      </c>
      <c r="D64" s="47" t="str">
        <v>AppleCare</v>
      </c>
      <c r="E64" s="47" t="str">
        <v>Liability Risk</v>
      </c>
      <c r="F64" s="47" t="str">
        <v>Delivered</v>
      </c>
      <c r="G64" s="47">
        <v>100</v>
      </c>
    </row>
    <row r="65" spans="1:7" x14ac:dyDescent="0.3">
      <c r="A65" s="47" t="str">
        <v>SH-20260405-1094</v>
      </c>
      <c r="B65" s="47" t="str">
        <v>Compal</v>
      </c>
      <c r="C65" s="47" t="str">
        <v>DHL</v>
      </c>
      <c r="D65" s="47" t="str">
        <v>AppleCare</v>
      </c>
      <c r="E65" s="47" t="str">
        <v>Liability Risk</v>
      </c>
      <c r="F65" s="47" t="str">
        <v>Delivered</v>
      </c>
      <c r="G65" s="47">
        <v>126.4</v>
      </c>
    </row>
    <row r="66" spans="1:7" x14ac:dyDescent="0.3">
      <c r="A66" s="47" t="str">
        <v>SH-20260406-1095</v>
      </c>
      <c r="B66" s="47" t="str">
        <v>Compal</v>
      </c>
      <c r="C66" s="47" t="str">
        <v>Maersk</v>
      </c>
      <c r="D66" s="47" t="str">
        <v>AppleCare</v>
      </c>
      <c r="E66" s="47" t="str">
        <v>Liability Risk</v>
      </c>
      <c r="F66" s="47" t="str">
        <v>Delivered</v>
      </c>
      <c r="G66" s="47">
        <v>109.6</v>
      </c>
    </row>
    <row r="67" spans="1:7" x14ac:dyDescent="0.3">
      <c r="A67" s="47" t="str">
        <v>SH-20260408-1097</v>
      </c>
      <c r="B67" s="47" t="str">
        <v>Compal</v>
      </c>
      <c r="C67" s="47" t="str">
        <v>UPS</v>
      </c>
      <c r="D67" s="47" t="str">
        <v>AppleCare</v>
      </c>
      <c r="E67" s="47" t="str">
        <v>Liability Risk</v>
      </c>
      <c r="F67" s="47" t="str">
        <v>Delivered</v>
      </c>
      <c r="G67" s="47">
        <v>129.6</v>
      </c>
    </row>
    <row r="68" spans="1:7" x14ac:dyDescent="0.3">
      <c r="A68" s="47" t="str">
        <v>SH-20260413-1102</v>
      </c>
      <c r="B68" s="47" t="str">
        <v>Wistron</v>
      </c>
      <c r="C68" s="47" t="str">
        <v>UPS</v>
      </c>
      <c r="D68" s="47" t="str">
        <v>AppleCare</v>
      </c>
      <c r="E68" s="47" t="str">
        <v>Liability Risk</v>
      </c>
      <c r="F68" s="47" t="str">
        <v>Delivered</v>
      </c>
      <c r="G68" s="47">
        <v>100</v>
      </c>
    </row>
    <row r="69" spans="1:7" x14ac:dyDescent="0.3">
      <c r="A69" s="47" t="str">
        <v>SH-20260415-1104</v>
      </c>
      <c r="B69" s="47" t="str">
        <v>Foxconn</v>
      </c>
      <c r="C69" s="47" t="str">
        <v>Maersk</v>
      </c>
      <c r="D69" s="47" t="str">
        <v>AppleCare</v>
      </c>
      <c r="E69" s="47" t="str">
        <v>Liability Risk</v>
      </c>
      <c r="F69" s="47" t="str">
        <v>Delivered</v>
      </c>
      <c r="G69" s="47">
        <v>100</v>
      </c>
    </row>
    <row r="70" spans="1:7" x14ac:dyDescent="0.3">
      <c r="A70" s="47" t="str">
        <v>SH-20260418-1107</v>
      </c>
      <c r="B70" s="47" t="str">
        <v>BYD</v>
      </c>
      <c r="C70" s="47" t="str">
        <v>DHL</v>
      </c>
      <c r="D70" s="47" t="str">
        <v>AppleCare</v>
      </c>
      <c r="E70" s="47" t="str">
        <v>Liability Risk</v>
      </c>
      <c r="F70" s="47" t="str">
        <v>Delivered</v>
      </c>
      <c r="G70" s="47">
        <v>116</v>
      </c>
    </row>
    <row r="71" spans="1:7" x14ac:dyDescent="0.3">
      <c r="A71" s="47" t="str">
        <v>SH-20260423-1112</v>
      </c>
      <c r="B71" s="47" t="str">
        <v>Luxshare</v>
      </c>
      <c r="C71" s="47" t="str">
        <v>UPS</v>
      </c>
      <c r="D71" s="47" t="str">
        <v>AppleCare</v>
      </c>
      <c r="E71" s="47" t="str">
        <v>Liability Risk</v>
      </c>
      <c r="F71" s="47" t="str">
        <v>Delivered</v>
      </c>
      <c r="G71" s="47">
        <v>100</v>
      </c>
    </row>
    <row r="72" spans="1:7" x14ac:dyDescent="0.3">
      <c r="A72" s="47" t="str">
        <v>SH-20260424-1113</v>
      </c>
      <c r="B72" s="47" t="str">
        <v>Pegatron</v>
      </c>
      <c r="C72" s="47" t="str">
        <v>UPS</v>
      </c>
      <c r="D72" s="47" t="str">
        <v>AppleCare</v>
      </c>
      <c r="E72" s="47" t="str">
        <v>Liability Risk</v>
      </c>
      <c r="F72" s="47" t="str">
        <v>Delivered</v>
      </c>
      <c r="G72" s="47">
        <v>100</v>
      </c>
    </row>
    <row r="73" spans="1:7" x14ac:dyDescent="0.3">
      <c r="A73" s="47" t="str">
        <v>SH-20260425-1114</v>
      </c>
      <c r="B73" s="47" t="str">
        <v>Foxconn</v>
      </c>
      <c r="C73" s="47" t="str">
        <v>DHL</v>
      </c>
      <c r="D73" s="47" t="str">
        <v>AppleCare</v>
      </c>
      <c r="E73" s="47" t="str">
        <v>Liability Risk</v>
      </c>
      <c r="F73" s="47" t="str">
        <v>Delivered</v>
      </c>
      <c r="G73" s="47">
        <v>100</v>
      </c>
    </row>
    <row r="74" spans="1:7" x14ac:dyDescent="0.3">
      <c r="A74" s="47" t="str">
        <v>SH-20260427-1116</v>
      </c>
      <c r="B74" s="47" t="str">
        <v>BYD</v>
      </c>
      <c r="C74" s="47" t="str">
        <v>Maersk</v>
      </c>
      <c r="D74" s="47" t="str">
        <v>AppleCare</v>
      </c>
      <c r="E74" s="47" t="str">
        <v>Liability Risk</v>
      </c>
      <c r="F74" s="47" t="str">
        <v>Delivered</v>
      </c>
      <c r="G74" s="47">
        <v>100</v>
      </c>
    </row>
    <row r="75" spans="1:7" x14ac:dyDescent="0.3">
      <c r="A75" s="47" t="str">
        <v>SH-20260428-1117</v>
      </c>
      <c r="B75" s="47" t="str">
        <v>Compal</v>
      </c>
      <c r="C75" s="47" t="str">
        <v>UPS</v>
      </c>
      <c r="D75" s="47" t="str">
        <v>AppleCare</v>
      </c>
      <c r="E75" s="47" t="str">
        <v>Liability Risk</v>
      </c>
      <c r="F75" s="47" t="str">
        <v>Delivered</v>
      </c>
      <c r="G75" s="47">
        <v>100</v>
      </c>
    </row>
    <row r="76" spans="1:7" x14ac:dyDescent="0.3">
      <c r="A76" s="47" t="str">
        <v>SH-20260401-1120</v>
      </c>
      <c r="B76" s="47" t="str">
        <v>Wistron</v>
      </c>
      <c r="C76" s="47" t="str">
        <v>Kuehne+Nagel</v>
      </c>
      <c r="D76" s="47" t="str">
        <v>AppleCare</v>
      </c>
      <c r="E76" s="47" t="str">
        <v>Liability Risk</v>
      </c>
      <c r="F76" s="47" t="str">
        <v>Delivered</v>
      </c>
      <c r="G76" s="47">
        <v>100</v>
      </c>
    </row>
    <row r="77" spans="1:7" x14ac:dyDescent="0.3">
      <c r="A77" s="47" t="str">
        <v>SH-20260402-1121</v>
      </c>
      <c r="B77" s="47" t="str">
        <v>Pegatron</v>
      </c>
      <c r="C77" s="47" t="str">
        <v>DHL</v>
      </c>
      <c r="D77" s="47" t="str">
        <v>AppleCare</v>
      </c>
      <c r="E77" s="47" t="str">
        <v>Liability Risk</v>
      </c>
      <c r="F77" s="47" t="str">
        <v>Delivered</v>
      </c>
      <c r="G77" s="47">
        <v>100</v>
      </c>
    </row>
    <row r="78" spans="1:7" x14ac:dyDescent="0.3">
      <c r="A78" s="47" t="str">
        <v>SH-20260403-1122</v>
      </c>
      <c r="B78" s="47" t="str">
        <v>Compal</v>
      </c>
      <c r="C78" s="47" t="str">
        <v>Kuehne+Nagel</v>
      </c>
      <c r="D78" s="47" t="str">
        <v>AppleCare</v>
      </c>
      <c r="E78" s="47" t="str">
        <v>Liability Risk</v>
      </c>
      <c r="F78" s="47" t="str">
        <v>Delivered</v>
      </c>
      <c r="G78" s="47">
        <v>100</v>
      </c>
    </row>
    <row r="79" spans="1:7" x14ac:dyDescent="0.3">
      <c r="A79" s="47" t="str">
        <v>SH-20260406-1125</v>
      </c>
      <c r="B79" s="47" t="str">
        <v>Compal</v>
      </c>
      <c r="C79" s="47" t="str">
        <v>FedEx</v>
      </c>
      <c r="D79" s="47" t="str">
        <v>AppleCare</v>
      </c>
      <c r="E79" s="47" t="str">
        <v>Liability Risk</v>
      </c>
      <c r="F79" s="47" t="str">
        <v>Delivered</v>
      </c>
      <c r="G79" s="47">
        <v>135</v>
      </c>
    </row>
    <row r="80" spans="1:7" x14ac:dyDescent="0.3">
      <c r="A80" s="47" t="str">
        <v>SH-20260411-1130</v>
      </c>
      <c r="B80" s="47" t="str">
        <v>BYD</v>
      </c>
      <c r="C80" s="47" t="str">
        <v>DB Schenker</v>
      </c>
      <c r="D80" s="47" t="str">
        <v>AppleCare</v>
      </c>
      <c r="E80" s="47" t="str">
        <v>Liability Risk</v>
      </c>
      <c r="F80" s="47" t="str">
        <v>Delivered</v>
      </c>
      <c r="G80" s="47">
        <v>135</v>
      </c>
    </row>
    <row r="81" spans="1:7" x14ac:dyDescent="0.3">
      <c r="A81" s="47" t="str">
        <v>SH-20260412-1131</v>
      </c>
      <c r="B81" s="47" t="str">
        <v>Pegatron</v>
      </c>
      <c r="C81" s="47" t="str">
        <v>FedEx</v>
      </c>
      <c r="D81" s="47" t="str">
        <v>AppleCare</v>
      </c>
      <c r="E81" s="47" t="str">
        <v>Liability Risk</v>
      </c>
      <c r="F81" s="47" t="str">
        <v>Delivered</v>
      </c>
      <c r="G81" s="47">
        <v>100</v>
      </c>
    </row>
    <row r="82" spans="1:7" x14ac:dyDescent="0.3">
      <c r="A82" s="47" t="str">
        <v>SH-20260414-1133</v>
      </c>
      <c r="B82" s="47" t="str">
        <v>Wistron</v>
      </c>
      <c r="C82" s="47" t="str">
        <v>Maersk</v>
      </c>
      <c r="D82" s="47" t="str">
        <v>AppleCare</v>
      </c>
      <c r="E82" s="47" t="str">
        <v>Liability Risk</v>
      </c>
      <c r="F82" s="47" t="str">
        <v>Exception</v>
      </c>
      <c r="G82" s="47">
        <v>101.6</v>
      </c>
    </row>
    <row r="83" spans="1:7" x14ac:dyDescent="0.3">
      <c r="A83" s="47" t="str">
        <v>SH-20260415-1134</v>
      </c>
      <c r="B83" s="47" t="str">
        <v>Foxconn</v>
      </c>
      <c r="C83" s="47" t="str">
        <v>Kuehne+Nagel</v>
      </c>
      <c r="D83" s="47" t="str">
        <v>AppleCare</v>
      </c>
      <c r="E83" s="47" t="str">
        <v>Liability Risk</v>
      </c>
      <c r="F83" s="47" t="str">
        <v>Delivered</v>
      </c>
      <c r="G83" s="47">
        <v>100</v>
      </c>
    </row>
    <row r="84" spans="1:7" x14ac:dyDescent="0.3">
      <c r="A84" s="47" t="str">
        <v>SH-20260418-1137</v>
      </c>
      <c r="B84" s="47" t="str">
        <v>Luxshare</v>
      </c>
      <c r="C84" s="47" t="str">
        <v>FedEx</v>
      </c>
      <c r="D84" s="47" t="str">
        <v>AppleCare</v>
      </c>
      <c r="E84" s="47" t="str">
        <v>Liability Risk</v>
      </c>
      <c r="F84" s="47" t="str">
        <v>Delivered</v>
      </c>
      <c r="G84" s="47">
        <v>150.19999999999999</v>
      </c>
    </row>
    <row r="85" spans="1:7" x14ac:dyDescent="0.3">
      <c r="A85" s="47" t="str">
        <v>SH-20260419-1138</v>
      </c>
      <c r="B85" s="47" t="str">
        <v>BYD</v>
      </c>
      <c r="C85" s="47" t="str">
        <v>Kuehne+Nagel</v>
      </c>
      <c r="D85" s="47" t="str">
        <v>AppleCare</v>
      </c>
      <c r="E85" s="47" t="str">
        <v>Liability Risk</v>
      </c>
      <c r="F85" s="47" t="str">
        <v>Delivered</v>
      </c>
      <c r="G85" s="47">
        <v>100</v>
      </c>
    </row>
    <row r="86" spans="1:7" x14ac:dyDescent="0.3">
      <c r="A86" s="47" t="str">
        <v>SH-20260421-1140</v>
      </c>
      <c r="B86" s="47" t="str">
        <v>BYD</v>
      </c>
      <c r="C86" s="47" t="str">
        <v>FedEx</v>
      </c>
      <c r="D86" s="47" t="str">
        <v>AppleCare</v>
      </c>
      <c r="E86" s="47" t="str">
        <v>Liability Risk</v>
      </c>
      <c r="F86" s="47" t="str">
        <v>Delivered</v>
      </c>
      <c r="G86" s="47">
        <v>109.6</v>
      </c>
    </row>
    <row r="87" spans="1:7" x14ac:dyDescent="0.3">
      <c r="A87" s="47" t="str">
        <v>SH-20260425-1144</v>
      </c>
      <c r="B87" s="47" t="str">
        <v>Compal</v>
      </c>
      <c r="C87" s="47" t="str">
        <v>DB Schenker</v>
      </c>
      <c r="D87" s="47" t="str">
        <v>AppleCare</v>
      </c>
      <c r="E87" s="47" t="str">
        <v>Liability Risk</v>
      </c>
      <c r="F87" s="47" t="str">
        <v>Delivered</v>
      </c>
      <c r="G87" s="47">
        <v>100</v>
      </c>
    </row>
    <row r="88" spans="1:7" x14ac:dyDescent="0.3">
      <c r="A88" s="47" t="str">
        <v>SH-20260428-1147</v>
      </c>
      <c r="B88" s="47" t="str">
        <v>Luxshare</v>
      </c>
      <c r="C88" s="47" t="str">
        <v>FedEx</v>
      </c>
      <c r="D88" s="47" t="str">
        <v>AppleCare</v>
      </c>
      <c r="E88" s="47" t="str">
        <v>Liability Risk</v>
      </c>
      <c r="F88" s="47" t="str">
        <v>Delivered</v>
      </c>
      <c r="G88" s="47">
        <v>100</v>
      </c>
    </row>
    <row r="89" spans="1:7" x14ac:dyDescent="0.3">
      <c r="A89" s="47"/>
      <c r="B89" s="47"/>
      <c r="C89" s="47"/>
      <c r="D89" s="47"/>
      <c r="E89" s="47"/>
      <c r="F89" s="47"/>
      <c r="G89" s="47"/>
    </row>
    <row r="90" spans="1:7" x14ac:dyDescent="0.3">
      <c r="A90" s="47"/>
      <c r="B90" s="47"/>
      <c r="C90" s="47"/>
      <c r="D90" s="47"/>
      <c r="E90" s="47"/>
      <c r="F90" s="47"/>
      <c r="G90" s="47"/>
    </row>
  </sheetData>
  <sheetProtection sheet="1" objects="1" scenarios="1" sort="0" autoFilter="0" pivotTables="0"/>
  <mergeCells count="9">
    <mergeCell ref="A1:N1"/>
    <mergeCell ref="A2:N2"/>
    <mergeCell ref="A3:N3"/>
    <mergeCell ref="A10:B10"/>
    <mergeCell ref="A11:B11"/>
    <mergeCell ref="C10:D10"/>
    <mergeCell ref="C11:D11"/>
    <mergeCell ref="E10:F10"/>
    <mergeCell ref="E11:F11"/>
  </mergeCells>
  <conditionalFormatting sqref="E16:E90">
    <cfRule type="containsText" dxfId="5" priority="1" operator="containsText" text="Liability Risk">
      <formula>NOT(ISERROR(SEARCH("Liability Risk",E16)))</formula>
    </cfRule>
  </conditionalFormatting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6318-B374-4CF9-8A7C-BDC3C2BF9596}">
  <sheetPr>
    <tabColor rgb="FF0071E3"/>
    <pageSetUpPr fitToPage="1"/>
  </sheetPr>
  <dimension ref="A1:O70"/>
  <sheetViews>
    <sheetView zoomScale="64" workbookViewId="0">
      <selection sqref="A1:N1"/>
    </sheetView>
  </sheetViews>
  <sheetFormatPr defaultRowHeight="14.4" x14ac:dyDescent="0.3"/>
  <cols>
    <col min="1" max="1" width="28.6640625" style="1" customWidth="1"/>
    <col min="2" max="2" width="20.33203125" style="1" customWidth="1"/>
    <col min="3" max="4" width="14.77734375" style="1" customWidth="1"/>
    <col min="5" max="6" width="16.6640625" style="1" customWidth="1"/>
    <col min="7" max="7" width="14.77734375" style="1" customWidth="1"/>
    <col min="8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385</v>
      </c>
    </row>
    <row r="6" spans="1:15" x14ac:dyDescent="0.3">
      <c r="A6" s="16" t="s">
        <v>386</v>
      </c>
    </row>
    <row r="8" spans="1:15" ht="16.8" x14ac:dyDescent="0.4">
      <c r="A8" s="50" t="s">
        <v>387</v>
      </c>
    </row>
    <row r="10" spans="1:15" ht="22.05" customHeight="1" x14ac:dyDescent="0.3">
      <c r="A10" s="126" t="s">
        <v>388</v>
      </c>
      <c r="B10" s="127"/>
      <c r="C10" s="130" t="s">
        <v>389</v>
      </c>
      <c r="D10" s="127"/>
      <c r="E10" s="130" t="s">
        <v>390</v>
      </c>
      <c r="F10" s="127"/>
      <c r="G10" s="130" t="s">
        <v>391</v>
      </c>
      <c r="H10" s="127"/>
    </row>
    <row r="11" spans="1:15" ht="40.049999999999997" customHeight="1" x14ac:dyDescent="0.75">
      <c r="A11" s="163">
        <f>COUNTIF(Shipments[Final Mile SLA (hours)],"&lt;0")</f>
        <v>41</v>
      </c>
      <c r="B11" s="132"/>
      <c r="C11" s="161">
        <f>COUNTIFS(Shipments[Final Mile SLA (hours)],"&gt;0",Shipments[Final Mile SLA (hours)],"&lt;12")</f>
        <v>7</v>
      </c>
      <c r="D11" s="164"/>
      <c r="E11" s="165">
        <f>COUNTIF(Shipments[Final Mile SLA (hours)],"&gt;=12")</f>
        <v>101</v>
      </c>
      <c r="F11" s="129"/>
      <c r="G11" s="153">
        <f>COUNTIF(Shipments[Final Mile SLA (hours)],"&lt;0")/COUNTA(Shipments[Shipment ID])</f>
        <v>0.27333333333333332</v>
      </c>
      <c r="H11" s="154"/>
    </row>
    <row r="13" spans="1:15" ht="16.8" x14ac:dyDescent="0.4">
      <c r="A13" s="52" t="s">
        <v>392</v>
      </c>
    </row>
    <row r="15" spans="1:15" x14ac:dyDescent="0.3">
      <c r="A15" s="21" t="s">
        <v>0</v>
      </c>
      <c r="B15" s="21" t="s">
        <v>9</v>
      </c>
      <c r="C15" s="21" t="s">
        <v>2</v>
      </c>
      <c r="D15" s="21" t="s">
        <v>393</v>
      </c>
      <c r="E15" s="21" t="s">
        <v>394</v>
      </c>
      <c r="F15" s="21" t="s">
        <v>1</v>
      </c>
      <c r="G15" s="21" t="s">
        <v>16</v>
      </c>
    </row>
    <row r="16" spans="1:15" x14ac:dyDescent="0.3">
      <c r="A16" s="47" t="str" cm="1">
        <f t="array" ref="A16:A64">IFERROR(_xlfn._xlws.FILTER(Shipments[Shipment ID], Shipments[Final Mile SLA (hours)]&lt;12, "All SLAs on track"),"All SLAs on track")</f>
        <v>SH-20260401-1000</v>
      </c>
      <c r="B16" s="47" t="str" cm="1">
        <f t="array" ref="B16:B64">IFERROR(_xlfn._xlws.FILTER(Shipments[Carrier], Shipments[Final Mile SLA (hours)]&lt;12, ""),"")</f>
        <v>DHL</v>
      </c>
      <c r="C16" s="47" t="str" cm="1">
        <f t="array" ref="C16:C64">IFERROR(_xlfn._xlws.FILTER(Shipments[Status], Shipments[Final Mile SLA (hours)]&lt;12, ""),"")</f>
        <v>Delivered</v>
      </c>
      <c r="D16" s="47" cm="1">
        <f t="array" ref="D16:D64">IFERROR(_xlfn._xlws.FILTER(Shipments[Final Mile SLA (hours)], Shipments[Final Mile SLA (hours)]&lt;12, ""),"")</f>
        <v>-26</v>
      </c>
      <c r="E16" s="47" t="str">
        <f t="shared" ref="E16:E47" si="0">IFERROR(IF(D16&lt;0,"BREACHED",D16&amp;" hrs"),"")</f>
        <v>BREACHED</v>
      </c>
      <c r="F16" s="47" t="str" cm="1">
        <f t="array" ref="F16:F64">IFERROR(_xlfn._xlws.FILTER(Shipments[Origin], Shipments[Final Mile SLA (hours)]&lt;12, ""),"")</f>
        <v>Compal</v>
      </c>
      <c r="G16" s="49" cm="1">
        <f t="array" ref="G16:G64">IFERROR(_xlfn._xlws.FILTER(Shipments[RiskScoreCalc], Shipments[Final Mile SLA (hours)]&lt;12, ""),"")</f>
        <v>120.8</v>
      </c>
    </row>
    <row r="17" spans="1:7" x14ac:dyDescent="0.3">
      <c r="A17" s="47" t="str">
        <v>SH-20260405-1004</v>
      </c>
      <c r="B17" s="47" t="str">
        <v>UPS</v>
      </c>
      <c r="C17" s="47" t="str">
        <v>Delivered</v>
      </c>
      <c r="D17" s="47">
        <v>6</v>
      </c>
      <c r="E17" s="47" t="str">
        <f t="shared" si="0"/>
        <v>6 hrs</v>
      </c>
      <c r="F17" s="47" t="str">
        <v>Compal</v>
      </c>
      <c r="G17" s="47">
        <v>100</v>
      </c>
    </row>
    <row r="18" spans="1:7" x14ac:dyDescent="0.3">
      <c r="A18" s="47" t="str">
        <v>SH-20260406-1005</v>
      </c>
      <c r="B18" s="47" t="str">
        <v>FedEx</v>
      </c>
      <c r="C18" s="47" t="str">
        <v>Delivered</v>
      </c>
      <c r="D18" s="47">
        <v>-13</v>
      </c>
      <c r="E18" s="47" t="str">
        <f t="shared" si="0"/>
        <v>BREACHED</v>
      </c>
      <c r="F18" s="47" t="str">
        <v>Luxshare</v>
      </c>
      <c r="G18" s="47">
        <v>110.4</v>
      </c>
    </row>
    <row r="19" spans="1:7" x14ac:dyDescent="0.3">
      <c r="A19" s="47" t="str">
        <v>SH-20260413-1012</v>
      </c>
      <c r="B19" s="47" t="str">
        <v>DHL</v>
      </c>
      <c r="C19" s="47" t="str">
        <v>Delivered</v>
      </c>
      <c r="D19" s="47">
        <v>6</v>
      </c>
      <c r="E19" s="47" t="str">
        <f t="shared" si="0"/>
        <v>6 hrs</v>
      </c>
      <c r="F19" s="47" t="str">
        <v>BYD</v>
      </c>
      <c r="G19" s="47">
        <v>100</v>
      </c>
    </row>
    <row r="20" spans="1:7" x14ac:dyDescent="0.3">
      <c r="A20" s="47" t="str">
        <v>SH-20260414-1013</v>
      </c>
      <c r="B20" s="47" t="str">
        <v>Maersk</v>
      </c>
      <c r="C20" s="47" t="str">
        <v>Delivered</v>
      </c>
      <c r="D20" s="47">
        <v>-33</v>
      </c>
      <c r="E20" s="47" t="str">
        <f t="shared" si="0"/>
        <v>BREACHED</v>
      </c>
      <c r="F20" s="47" t="str">
        <v>Luxshare</v>
      </c>
      <c r="G20" s="47">
        <v>126.4</v>
      </c>
    </row>
    <row r="21" spans="1:7" x14ac:dyDescent="0.3">
      <c r="A21" s="47" t="str">
        <v>SH-20260417-1016</v>
      </c>
      <c r="B21" s="47" t="str">
        <v>Maersk</v>
      </c>
      <c r="C21" s="47" t="str">
        <v>Delivered</v>
      </c>
      <c r="D21" s="47">
        <v>-21</v>
      </c>
      <c r="E21" s="47" t="str">
        <f t="shared" si="0"/>
        <v>BREACHED</v>
      </c>
      <c r="F21" s="47" t="str">
        <v>Wistron</v>
      </c>
      <c r="G21" s="47">
        <v>116.8</v>
      </c>
    </row>
    <row r="22" spans="1:7" x14ac:dyDescent="0.3">
      <c r="A22" s="47" t="str">
        <v>SH-20260418-1017</v>
      </c>
      <c r="B22" s="47" t="str">
        <v>DB Schenker</v>
      </c>
      <c r="C22" s="47" t="str">
        <v>Delivered</v>
      </c>
      <c r="D22" s="47">
        <v>-15</v>
      </c>
      <c r="E22" s="47" t="str">
        <f t="shared" si="0"/>
        <v>BREACHED</v>
      </c>
      <c r="F22" s="47" t="str">
        <v>Wistron</v>
      </c>
      <c r="G22" s="47">
        <v>112</v>
      </c>
    </row>
    <row r="23" spans="1:7" x14ac:dyDescent="0.3">
      <c r="A23" s="47" t="str">
        <v>SH-20260419-1018</v>
      </c>
      <c r="B23" s="47" t="str">
        <v>FedEx</v>
      </c>
      <c r="C23" s="47" t="str">
        <v>Delivered</v>
      </c>
      <c r="D23" s="47">
        <v>-38</v>
      </c>
      <c r="E23" s="47" t="str">
        <f t="shared" si="0"/>
        <v>BREACHED</v>
      </c>
      <c r="F23" s="47" t="str">
        <v>Compal</v>
      </c>
      <c r="G23" s="47">
        <v>130.4</v>
      </c>
    </row>
    <row r="24" spans="1:7" x14ac:dyDescent="0.3">
      <c r="A24" s="47" t="str">
        <v>SH-20260423-1022</v>
      </c>
      <c r="B24" s="47" t="str">
        <v>DHL</v>
      </c>
      <c r="C24" s="47" t="str">
        <v>Delivered</v>
      </c>
      <c r="D24" s="47">
        <v>-17</v>
      </c>
      <c r="E24" s="47" t="str">
        <f t="shared" si="0"/>
        <v>BREACHED</v>
      </c>
      <c r="F24" s="47" t="str">
        <v>Luxshare</v>
      </c>
      <c r="G24" s="47">
        <v>113.6</v>
      </c>
    </row>
    <row r="25" spans="1:7" x14ac:dyDescent="0.3">
      <c r="A25" s="47" t="str">
        <v>SH-20260425-1024</v>
      </c>
      <c r="B25" s="47" t="str">
        <v>FedEx</v>
      </c>
      <c r="C25" s="47" t="str">
        <v>Delivered</v>
      </c>
      <c r="D25" s="47">
        <v>-11</v>
      </c>
      <c r="E25" s="47" t="str">
        <f t="shared" si="0"/>
        <v>BREACHED</v>
      </c>
      <c r="F25" s="47" t="str">
        <v>Compal</v>
      </c>
      <c r="G25" s="47">
        <v>143.80000000000001</v>
      </c>
    </row>
    <row r="26" spans="1:7" x14ac:dyDescent="0.3">
      <c r="A26" s="47" t="str">
        <v>SH-20260426-1025</v>
      </c>
      <c r="B26" s="47" t="str">
        <v>FedEx</v>
      </c>
      <c r="C26" s="47" t="str">
        <v>Delivered</v>
      </c>
      <c r="D26" s="47">
        <v>-36</v>
      </c>
      <c r="E26" s="47" t="str">
        <f t="shared" si="0"/>
        <v>BREACHED</v>
      </c>
      <c r="F26" s="47" t="str">
        <v>Luxshare</v>
      </c>
      <c r="G26" s="47">
        <v>128.80000000000001</v>
      </c>
    </row>
    <row r="27" spans="1:7" x14ac:dyDescent="0.3">
      <c r="A27" s="47" t="str">
        <v>SH-20260428-1027</v>
      </c>
      <c r="B27" s="47" t="str">
        <v>Maersk</v>
      </c>
      <c r="C27" s="47" t="str">
        <v>Delivered</v>
      </c>
      <c r="D27" s="47">
        <v>-32</v>
      </c>
      <c r="E27" s="47" t="str">
        <f t="shared" si="0"/>
        <v>BREACHED</v>
      </c>
      <c r="F27" s="47" t="str">
        <v>Wistron</v>
      </c>
      <c r="G27" s="47">
        <v>125.6</v>
      </c>
    </row>
    <row r="28" spans="1:7" x14ac:dyDescent="0.3">
      <c r="A28" s="47" t="str">
        <v>SH-20260402-1031</v>
      </c>
      <c r="B28" s="47" t="str">
        <v>UPS</v>
      </c>
      <c r="C28" s="47" t="str">
        <v>Delivered</v>
      </c>
      <c r="D28" s="47">
        <v>-19</v>
      </c>
      <c r="E28" s="47" t="str">
        <f t="shared" si="0"/>
        <v>BREACHED</v>
      </c>
      <c r="F28" s="47" t="str">
        <v>Luxshare</v>
      </c>
      <c r="G28" s="47">
        <v>115.2</v>
      </c>
    </row>
    <row r="29" spans="1:7" x14ac:dyDescent="0.3">
      <c r="A29" s="47" t="str">
        <v>SH-20260407-1036</v>
      </c>
      <c r="B29" s="47" t="str">
        <v>DB Schenker</v>
      </c>
      <c r="C29" s="47" t="str">
        <v>Delivered</v>
      </c>
      <c r="D29" s="47">
        <v>-18</v>
      </c>
      <c r="E29" s="47" t="str">
        <f t="shared" si="0"/>
        <v>BREACHED</v>
      </c>
      <c r="F29" s="47" t="str">
        <v>Compal</v>
      </c>
      <c r="G29" s="47">
        <v>114.4</v>
      </c>
    </row>
    <row r="30" spans="1:7" x14ac:dyDescent="0.3">
      <c r="A30" s="47" t="str">
        <v>SH-20260408-1037</v>
      </c>
      <c r="B30" s="47" t="str">
        <v>DB Schenker</v>
      </c>
      <c r="C30" s="47" t="str">
        <v>Delivered</v>
      </c>
      <c r="D30" s="47">
        <v>-16</v>
      </c>
      <c r="E30" s="47" t="str">
        <f t="shared" si="0"/>
        <v>BREACHED</v>
      </c>
      <c r="F30" s="47" t="str">
        <v>BYD</v>
      </c>
      <c r="G30" s="47">
        <v>112.8</v>
      </c>
    </row>
    <row r="31" spans="1:7" x14ac:dyDescent="0.3">
      <c r="A31" s="47" t="str">
        <v>SH-20260409-1038</v>
      </c>
      <c r="B31" s="47" t="str">
        <v>DB Schenker</v>
      </c>
      <c r="C31" s="47" t="str">
        <v>Delivered</v>
      </c>
      <c r="D31" s="47">
        <v>-19</v>
      </c>
      <c r="E31" s="47" t="str">
        <f t="shared" si="0"/>
        <v>BREACHED</v>
      </c>
      <c r="F31" s="47" t="str">
        <v>Foxconn</v>
      </c>
      <c r="G31" s="47">
        <v>115.2</v>
      </c>
    </row>
    <row r="32" spans="1:7" x14ac:dyDescent="0.3">
      <c r="A32" s="47" t="str">
        <v>SH-20260413-1042</v>
      </c>
      <c r="B32" s="47" t="str">
        <v>DB Schenker</v>
      </c>
      <c r="C32" s="47" t="str">
        <v>Delivered</v>
      </c>
      <c r="D32" s="47">
        <v>10</v>
      </c>
      <c r="E32" s="47" t="str">
        <f t="shared" si="0"/>
        <v>10 hrs</v>
      </c>
      <c r="F32" s="47" t="str">
        <v>Wistron</v>
      </c>
      <c r="G32" s="47">
        <v>100</v>
      </c>
    </row>
    <row r="33" spans="1:7" x14ac:dyDescent="0.3">
      <c r="A33" s="47" t="str">
        <v>SH-20260414-1043</v>
      </c>
      <c r="B33" s="47" t="str">
        <v>DB Schenker</v>
      </c>
      <c r="C33" s="47" t="str">
        <v>At FF</v>
      </c>
      <c r="D33" s="47">
        <v>-22</v>
      </c>
      <c r="E33" s="47" t="str">
        <f t="shared" si="0"/>
        <v>BREACHED</v>
      </c>
      <c r="F33" s="47" t="str">
        <v>Luxshare</v>
      </c>
      <c r="G33" s="47">
        <v>117.6</v>
      </c>
    </row>
    <row r="34" spans="1:7" x14ac:dyDescent="0.3">
      <c r="A34" s="47" t="str">
        <v>SH-20260416-1045</v>
      </c>
      <c r="B34" s="47" t="str">
        <v>DB Schenker</v>
      </c>
      <c r="C34" s="47" t="str">
        <v>Delayed</v>
      </c>
      <c r="D34" s="47">
        <v>-8</v>
      </c>
      <c r="E34" s="47" t="str">
        <f t="shared" si="0"/>
        <v>BREACHED</v>
      </c>
      <c r="F34" s="47" t="str">
        <v>Wistron</v>
      </c>
      <c r="G34" s="47">
        <v>151.4</v>
      </c>
    </row>
    <row r="35" spans="1:7" x14ac:dyDescent="0.3">
      <c r="A35" s="47" t="str">
        <v>SH-20260417-1046</v>
      </c>
      <c r="B35" s="47" t="str">
        <v>UPS</v>
      </c>
      <c r="C35" s="47" t="str">
        <v>Delivered</v>
      </c>
      <c r="D35" s="47">
        <v>-11</v>
      </c>
      <c r="E35" s="47" t="str">
        <f t="shared" si="0"/>
        <v>BREACHED</v>
      </c>
      <c r="F35" s="47" t="str">
        <v>Foxconn</v>
      </c>
      <c r="G35" s="47">
        <v>108.8</v>
      </c>
    </row>
    <row r="36" spans="1:7" x14ac:dyDescent="0.3">
      <c r="A36" s="47" t="str">
        <v>SH-20260421-1050</v>
      </c>
      <c r="B36" s="47" t="str">
        <v>Maersk</v>
      </c>
      <c r="C36" s="47" t="str">
        <v>Delivered</v>
      </c>
      <c r="D36" s="47">
        <v>-41</v>
      </c>
      <c r="E36" s="47" t="str">
        <f t="shared" si="0"/>
        <v>BREACHED</v>
      </c>
      <c r="F36" s="47" t="str">
        <v>Compal</v>
      </c>
      <c r="G36" s="47">
        <v>167.8</v>
      </c>
    </row>
    <row r="37" spans="1:7" x14ac:dyDescent="0.3">
      <c r="A37" s="47" t="str">
        <v>SH-20260428-1057</v>
      </c>
      <c r="B37" s="47" t="str">
        <v>DHL</v>
      </c>
      <c r="C37" s="47" t="str">
        <v>Delivered</v>
      </c>
      <c r="D37" s="47">
        <v>-9</v>
      </c>
      <c r="E37" s="47" t="str">
        <f t="shared" si="0"/>
        <v>BREACHED</v>
      </c>
      <c r="F37" s="47" t="str">
        <v>Luxshare</v>
      </c>
      <c r="G37" s="47">
        <v>107.2</v>
      </c>
    </row>
    <row r="38" spans="1:7" x14ac:dyDescent="0.3">
      <c r="A38" s="47" t="str">
        <v>SH-20260404-1063</v>
      </c>
      <c r="B38" s="47" t="str">
        <v>UPS</v>
      </c>
      <c r="C38" s="47" t="str">
        <v>Delivered</v>
      </c>
      <c r="D38" s="47">
        <v>-31</v>
      </c>
      <c r="E38" s="47" t="str">
        <f t="shared" si="0"/>
        <v>BREACHED</v>
      </c>
      <c r="F38" s="47" t="str">
        <v>Luxshare</v>
      </c>
      <c r="G38" s="47">
        <v>124.8</v>
      </c>
    </row>
    <row r="39" spans="1:7" x14ac:dyDescent="0.3">
      <c r="A39" s="47" t="str">
        <v>SH-20260409-1068</v>
      </c>
      <c r="B39" s="47" t="str">
        <v>FedEx</v>
      </c>
      <c r="C39" s="47" t="str">
        <v>Delivered</v>
      </c>
      <c r="D39" s="47">
        <v>10</v>
      </c>
      <c r="E39" s="47" t="str">
        <f t="shared" si="0"/>
        <v>10 hrs</v>
      </c>
      <c r="F39" s="47" t="str">
        <v>Pegatron</v>
      </c>
      <c r="G39" s="47">
        <v>100</v>
      </c>
    </row>
    <row r="40" spans="1:7" x14ac:dyDescent="0.3">
      <c r="A40" s="47" t="str">
        <v>SH-20260416-1075</v>
      </c>
      <c r="B40" s="47" t="str">
        <v>FedEx</v>
      </c>
      <c r="C40" s="47" t="str">
        <v>Delivered</v>
      </c>
      <c r="D40" s="47">
        <v>-27</v>
      </c>
      <c r="E40" s="47" t="str">
        <f t="shared" si="0"/>
        <v>BREACHED</v>
      </c>
      <c r="F40" s="47" t="str">
        <v>BYD</v>
      </c>
      <c r="G40" s="47">
        <v>121.6</v>
      </c>
    </row>
    <row r="41" spans="1:7" x14ac:dyDescent="0.3">
      <c r="A41" s="47" t="str">
        <v>SH-20260417-1076</v>
      </c>
      <c r="B41" s="47" t="str">
        <v>DHL</v>
      </c>
      <c r="C41" s="47" t="str">
        <v>Delivered</v>
      </c>
      <c r="D41" s="47">
        <v>-9</v>
      </c>
      <c r="E41" s="47" t="str">
        <f t="shared" si="0"/>
        <v>BREACHED</v>
      </c>
      <c r="F41" s="47" t="str">
        <v>Wistron</v>
      </c>
      <c r="G41" s="47">
        <v>107.2</v>
      </c>
    </row>
    <row r="42" spans="1:7" x14ac:dyDescent="0.3">
      <c r="A42" s="47" t="str">
        <v>SH-20260420-1079</v>
      </c>
      <c r="B42" s="47" t="str">
        <v>Maersk</v>
      </c>
      <c r="C42" s="47" t="str">
        <v>Delivered</v>
      </c>
      <c r="D42" s="47">
        <v>8</v>
      </c>
      <c r="E42" s="47" t="str">
        <f t="shared" si="0"/>
        <v>8 hrs</v>
      </c>
      <c r="F42" s="47" t="str">
        <v>Foxconn</v>
      </c>
      <c r="G42" s="47">
        <v>100</v>
      </c>
    </row>
    <row r="43" spans="1:7" x14ac:dyDescent="0.3">
      <c r="A43" s="47" t="str">
        <v>SH-20260424-1083</v>
      </c>
      <c r="B43" s="47" t="str">
        <v>Maersk</v>
      </c>
      <c r="C43" s="47" t="str">
        <v>Delivered</v>
      </c>
      <c r="D43" s="47">
        <v>-14</v>
      </c>
      <c r="E43" s="47" t="str">
        <f t="shared" si="0"/>
        <v>BREACHED</v>
      </c>
      <c r="F43" s="47" t="str">
        <v>Wistron</v>
      </c>
      <c r="G43" s="47">
        <v>146.19999999999999</v>
      </c>
    </row>
    <row r="44" spans="1:7" x14ac:dyDescent="0.3">
      <c r="A44" s="47" t="str">
        <v>SH-20260401-1090</v>
      </c>
      <c r="B44" s="47" t="str">
        <v>UPS</v>
      </c>
      <c r="C44" s="47" t="str">
        <v>Delivered</v>
      </c>
      <c r="D44" s="47">
        <v>-42</v>
      </c>
      <c r="E44" s="47" t="str">
        <f t="shared" si="0"/>
        <v>BREACHED</v>
      </c>
      <c r="F44" s="47" t="str">
        <v>Compal</v>
      </c>
      <c r="G44" s="47">
        <v>133.6</v>
      </c>
    </row>
    <row r="45" spans="1:7" x14ac:dyDescent="0.3">
      <c r="A45" s="47" t="str">
        <v>SH-20260404-1093</v>
      </c>
      <c r="B45" s="47" t="str">
        <v>UPS</v>
      </c>
      <c r="C45" s="47" t="str">
        <v>Delivered</v>
      </c>
      <c r="D45" s="47">
        <v>-41</v>
      </c>
      <c r="E45" s="47" t="str">
        <f t="shared" si="0"/>
        <v>BREACHED</v>
      </c>
      <c r="F45" s="47" t="str">
        <v>BYD</v>
      </c>
      <c r="G45" s="47">
        <v>132.80000000000001</v>
      </c>
    </row>
    <row r="46" spans="1:7" x14ac:dyDescent="0.3">
      <c r="A46" s="47" t="str">
        <v>SH-20260405-1094</v>
      </c>
      <c r="B46" s="47" t="str">
        <v>DHL</v>
      </c>
      <c r="C46" s="47" t="str">
        <v>Delivered</v>
      </c>
      <c r="D46" s="47">
        <v>-33</v>
      </c>
      <c r="E46" s="47" t="str">
        <f t="shared" si="0"/>
        <v>BREACHED</v>
      </c>
      <c r="F46" s="47" t="str">
        <v>Compal</v>
      </c>
      <c r="G46" s="47">
        <v>126.4</v>
      </c>
    </row>
    <row r="47" spans="1:7" x14ac:dyDescent="0.3">
      <c r="A47" s="47" t="str">
        <v>SH-20260406-1095</v>
      </c>
      <c r="B47" s="47" t="str">
        <v>Maersk</v>
      </c>
      <c r="C47" s="47" t="str">
        <v>Delivered</v>
      </c>
      <c r="D47" s="47">
        <v>-12</v>
      </c>
      <c r="E47" s="47" t="str">
        <f t="shared" si="0"/>
        <v>BREACHED</v>
      </c>
      <c r="F47" s="47" t="str">
        <v>Compal</v>
      </c>
      <c r="G47" s="47">
        <v>109.6</v>
      </c>
    </row>
    <row r="48" spans="1:7" x14ac:dyDescent="0.3">
      <c r="A48" s="47" t="str">
        <v>SH-20260408-1097</v>
      </c>
      <c r="B48" s="47" t="str">
        <v>UPS</v>
      </c>
      <c r="C48" s="47" t="str">
        <v>Delivered</v>
      </c>
      <c r="D48" s="47">
        <v>-37</v>
      </c>
      <c r="E48" s="47" t="str">
        <f t="shared" ref="E48:E65" si="1">IFERROR(IF(D48&lt;0,"BREACHED",D48&amp;" hrs"),"")</f>
        <v>BREACHED</v>
      </c>
      <c r="F48" s="47" t="str">
        <v>Compal</v>
      </c>
      <c r="G48" s="47">
        <v>129.6</v>
      </c>
    </row>
    <row r="49" spans="1:7" x14ac:dyDescent="0.3">
      <c r="A49" s="47" t="str">
        <v>SH-20260409-1098</v>
      </c>
      <c r="B49" s="47" t="str">
        <v>DB Schenker</v>
      </c>
      <c r="C49" s="47" t="str">
        <v>Delivered</v>
      </c>
      <c r="D49" s="47">
        <v>-12</v>
      </c>
      <c r="E49" s="47" t="str">
        <f t="shared" si="1"/>
        <v>BREACHED</v>
      </c>
      <c r="F49" s="47" t="str">
        <v>Wistron</v>
      </c>
      <c r="G49" s="47">
        <v>109.6</v>
      </c>
    </row>
    <row r="50" spans="1:7" x14ac:dyDescent="0.3">
      <c r="A50" s="47" t="str">
        <v>SH-20260412-1101</v>
      </c>
      <c r="B50" s="47" t="str">
        <v>FedEx</v>
      </c>
      <c r="C50" s="47" t="str">
        <v>Delivered</v>
      </c>
      <c r="D50" s="47">
        <v>4</v>
      </c>
      <c r="E50" s="47" t="str">
        <f t="shared" si="1"/>
        <v>4 hrs</v>
      </c>
      <c r="F50" s="47" t="str">
        <v>Luxshare</v>
      </c>
      <c r="G50" s="47">
        <v>100</v>
      </c>
    </row>
    <row r="51" spans="1:7" x14ac:dyDescent="0.3">
      <c r="A51" s="47" t="str">
        <v>SH-20260416-1105</v>
      </c>
      <c r="B51" s="47" t="str">
        <v>DHL</v>
      </c>
      <c r="C51" s="47" t="str">
        <v>Delivered</v>
      </c>
      <c r="D51" s="47">
        <v>-8</v>
      </c>
      <c r="E51" s="47" t="str">
        <f t="shared" si="1"/>
        <v>BREACHED</v>
      </c>
      <c r="F51" s="47" t="str">
        <v>Pegatron</v>
      </c>
      <c r="G51" s="47">
        <v>106.4</v>
      </c>
    </row>
    <row r="52" spans="1:7" x14ac:dyDescent="0.3">
      <c r="A52" s="47" t="str">
        <v>SH-20260417-1106</v>
      </c>
      <c r="B52" s="47" t="str">
        <v>DHL</v>
      </c>
      <c r="C52" s="47" t="str">
        <v>Delivered</v>
      </c>
      <c r="D52" s="47">
        <v>-39</v>
      </c>
      <c r="E52" s="47" t="str">
        <f t="shared" si="1"/>
        <v>BREACHED</v>
      </c>
      <c r="F52" s="47" t="str">
        <v>Compal</v>
      </c>
      <c r="G52" s="47">
        <v>131.19999999999999</v>
      </c>
    </row>
    <row r="53" spans="1:7" x14ac:dyDescent="0.3">
      <c r="A53" s="47" t="str">
        <v>SH-20260418-1107</v>
      </c>
      <c r="B53" s="47" t="str">
        <v>DHL</v>
      </c>
      <c r="C53" s="47" t="str">
        <v>Delivered</v>
      </c>
      <c r="D53" s="47">
        <v>-20</v>
      </c>
      <c r="E53" s="47" t="str">
        <f t="shared" si="1"/>
        <v>BREACHED</v>
      </c>
      <c r="F53" s="47" t="str">
        <v>BYD</v>
      </c>
      <c r="G53" s="47">
        <v>116</v>
      </c>
    </row>
    <row r="54" spans="1:7" x14ac:dyDescent="0.3">
      <c r="A54" s="47" t="str">
        <v>SH-20260419-1108</v>
      </c>
      <c r="B54" s="47" t="str">
        <v>FedEx</v>
      </c>
      <c r="C54" s="47" t="str">
        <v>Delivered</v>
      </c>
      <c r="D54" s="47">
        <v>-13</v>
      </c>
      <c r="E54" s="47" t="str">
        <f t="shared" si="1"/>
        <v>BREACHED</v>
      </c>
      <c r="F54" s="47" t="str">
        <v>Compal</v>
      </c>
      <c r="G54" s="47">
        <v>110.4</v>
      </c>
    </row>
    <row r="55" spans="1:7" x14ac:dyDescent="0.3">
      <c r="A55" s="47" t="str">
        <v>SH-20260425-1114</v>
      </c>
      <c r="B55" s="47" t="str">
        <v>DHL</v>
      </c>
      <c r="C55" s="47" t="str">
        <v>Delivered</v>
      </c>
      <c r="D55" s="47">
        <v>0</v>
      </c>
      <c r="E55" s="47" t="str">
        <f t="shared" si="1"/>
        <v>0 hrs</v>
      </c>
      <c r="F55" s="47" t="str">
        <v>Foxconn</v>
      </c>
      <c r="G55" s="47">
        <v>100</v>
      </c>
    </row>
    <row r="56" spans="1:7" x14ac:dyDescent="0.3">
      <c r="A56" s="47" t="str">
        <v>SH-20260430-1119</v>
      </c>
      <c r="B56" s="47" t="str">
        <v>UPS</v>
      </c>
      <c r="C56" s="47" t="str">
        <v>Delivered</v>
      </c>
      <c r="D56" s="47">
        <v>-18</v>
      </c>
      <c r="E56" s="47" t="str">
        <f t="shared" si="1"/>
        <v>BREACHED</v>
      </c>
      <c r="F56" s="47" t="str">
        <v>BYD</v>
      </c>
      <c r="G56" s="47">
        <v>114.4</v>
      </c>
    </row>
    <row r="57" spans="1:7" x14ac:dyDescent="0.3">
      <c r="A57" s="47" t="str">
        <v>SH-20260410-1129</v>
      </c>
      <c r="B57" s="47" t="str">
        <v>DHL</v>
      </c>
      <c r="C57" s="47" t="str">
        <v>Delivered</v>
      </c>
      <c r="D57" s="47">
        <v>-25</v>
      </c>
      <c r="E57" s="47" t="str">
        <f t="shared" si="1"/>
        <v>BREACHED</v>
      </c>
      <c r="F57" s="47" t="str">
        <v>Compal</v>
      </c>
      <c r="G57" s="47">
        <v>155</v>
      </c>
    </row>
    <row r="58" spans="1:7" x14ac:dyDescent="0.3">
      <c r="A58" s="47" t="str">
        <v>SH-20260414-1133</v>
      </c>
      <c r="B58" s="47" t="str">
        <v>Maersk</v>
      </c>
      <c r="C58" s="47" t="str">
        <v>Exception</v>
      </c>
      <c r="D58" s="47">
        <v>-2</v>
      </c>
      <c r="E58" s="47" t="str">
        <f t="shared" si="1"/>
        <v>BREACHED</v>
      </c>
      <c r="F58" s="47" t="str">
        <v>Wistron</v>
      </c>
      <c r="G58" s="47">
        <v>101.6</v>
      </c>
    </row>
    <row r="59" spans="1:7" x14ac:dyDescent="0.3">
      <c r="A59" s="47" t="str">
        <v>SH-20260418-1137</v>
      </c>
      <c r="B59" s="47" t="str">
        <v>FedEx</v>
      </c>
      <c r="C59" s="47" t="str">
        <v>Delivered</v>
      </c>
      <c r="D59" s="47">
        <v>-19</v>
      </c>
      <c r="E59" s="47" t="str">
        <f t="shared" si="1"/>
        <v>BREACHED</v>
      </c>
      <c r="F59" s="47" t="str">
        <v>Luxshare</v>
      </c>
      <c r="G59" s="47">
        <v>150.19999999999999</v>
      </c>
    </row>
    <row r="60" spans="1:7" x14ac:dyDescent="0.3">
      <c r="A60" s="47" t="str">
        <v>SH-20260419-1138</v>
      </c>
      <c r="B60" s="47" t="str">
        <v>Kuehne+Nagel</v>
      </c>
      <c r="C60" s="47" t="str">
        <v>Delivered</v>
      </c>
      <c r="D60" s="47">
        <v>2</v>
      </c>
      <c r="E60" s="47" t="str">
        <f t="shared" si="1"/>
        <v>2 hrs</v>
      </c>
      <c r="F60" s="47" t="str">
        <v>BYD</v>
      </c>
      <c r="G60" s="47">
        <v>100</v>
      </c>
    </row>
    <row r="61" spans="1:7" x14ac:dyDescent="0.3">
      <c r="A61" s="47" t="str">
        <v>SH-20260421-1140</v>
      </c>
      <c r="B61" s="47" t="str">
        <v>FedEx</v>
      </c>
      <c r="C61" s="47" t="str">
        <v>Delivered</v>
      </c>
      <c r="D61" s="47">
        <v>-12</v>
      </c>
      <c r="E61" s="47" t="str">
        <f t="shared" si="1"/>
        <v>BREACHED</v>
      </c>
      <c r="F61" s="47" t="str">
        <v>BYD</v>
      </c>
      <c r="G61" s="47">
        <v>109.6</v>
      </c>
    </row>
    <row r="62" spans="1:7" x14ac:dyDescent="0.3">
      <c r="A62" s="47" t="str">
        <v>SH-20260422-1141</v>
      </c>
      <c r="B62" s="47" t="str">
        <v>FedEx</v>
      </c>
      <c r="C62" s="47" t="str">
        <v>Delivered</v>
      </c>
      <c r="D62" s="47">
        <v>-46</v>
      </c>
      <c r="E62" s="47" t="str">
        <f t="shared" si="1"/>
        <v>BREACHED</v>
      </c>
      <c r="F62" s="47" t="str">
        <v>Compal</v>
      </c>
      <c r="G62" s="47">
        <v>136.80000000000001</v>
      </c>
    </row>
    <row r="63" spans="1:7" x14ac:dyDescent="0.3">
      <c r="A63" s="47" t="str">
        <v>SH-20260424-1143</v>
      </c>
      <c r="B63" s="47" t="str">
        <v>DB Schenker</v>
      </c>
      <c r="C63" s="47" t="str">
        <v>Delivered</v>
      </c>
      <c r="D63" s="47">
        <v>-40</v>
      </c>
      <c r="E63" s="47" t="str">
        <f t="shared" si="1"/>
        <v>BREACHED</v>
      </c>
      <c r="F63" s="47" t="str">
        <v>Wistron</v>
      </c>
      <c r="G63" s="47">
        <v>132</v>
      </c>
    </row>
    <row r="64" spans="1:7" x14ac:dyDescent="0.3">
      <c r="A64" s="47" t="str">
        <v>SH-20260427-1146</v>
      </c>
      <c r="B64" s="47" t="str">
        <v>DHL</v>
      </c>
      <c r="C64" s="47" t="str">
        <v>Delivered</v>
      </c>
      <c r="D64" s="47">
        <v>-25</v>
      </c>
      <c r="E64" s="47" t="str">
        <f t="shared" si="1"/>
        <v>BREACHED</v>
      </c>
      <c r="F64" s="47" t="str">
        <v>Luxshare</v>
      </c>
      <c r="G64" s="47">
        <v>120</v>
      </c>
    </row>
    <row r="65" spans="1:7" x14ac:dyDescent="0.3">
      <c r="A65" s="47"/>
      <c r="B65" s="47"/>
      <c r="C65" s="47"/>
      <c r="D65" s="47"/>
      <c r="E65" s="47" t="str">
        <f t="shared" si="1"/>
        <v xml:space="preserve"> hrs</v>
      </c>
      <c r="F65" s="47"/>
      <c r="G65" s="47"/>
    </row>
    <row r="66" spans="1:7" x14ac:dyDescent="0.3">
      <c r="A66" s="47"/>
      <c r="B66" s="47"/>
      <c r="C66" s="47"/>
      <c r="D66" s="47"/>
      <c r="E66" s="47"/>
      <c r="F66" s="47"/>
      <c r="G66" s="47"/>
    </row>
    <row r="67" spans="1:7" x14ac:dyDescent="0.3">
      <c r="A67" s="47"/>
      <c r="B67" s="47"/>
      <c r="C67" s="47"/>
      <c r="D67" s="47"/>
      <c r="E67" s="47"/>
      <c r="F67" s="47"/>
      <c r="G67" s="47"/>
    </row>
    <row r="68" spans="1:7" x14ac:dyDescent="0.3">
      <c r="A68" s="47"/>
      <c r="B68" s="47"/>
      <c r="C68" s="47"/>
      <c r="D68" s="47"/>
      <c r="E68" s="47"/>
      <c r="F68" s="47"/>
      <c r="G68" s="47"/>
    </row>
    <row r="69" spans="1:7" x14ac:dyDescent="0.3">
      <c r="A69" s="47"/>
      <c r="B69" s="47"/>
      <c r="C69" s="47"/>
      <c r="D69" s="47"/>
      <c r="E69" s="47"/>
      <c r="F69" s="47"/>
      <c r="G69" s="47"/>
    </row>
    <row r="70" spans="1:7" x14ac:dyDescent="0.3">
      <c r="A70" s="47"/>
      <c r="B70" s="47"/>
      <c r="C70" s="47"/>
      <c r="D70" s="47"/>
      <c r="E70" s="47"/>
      <c r="F70" s="47"/>
      <c r="G70" s="47"/>
    </row>
  </sheetData>
  <sheetProtection sheet="1" objects="1" scenarios="1" sort="0" autoFilter="0" pivotTables="0"/>
  <mergeCells count="11">
    <mergeCell ref="G11:H11"/>
    <mergeCell ref="A1:N1"/>
    <mergeCell ref="A2:N2"/>
    <mergeCell ref="A3:N3"/>
    <mergeCell ref="A10:B10"/>
    <mergeCell ref="A11:B11"/>
    <mergeCell ref="C10:D10"/>
    <mergeCell ref="C11:D11"/>
    <mergeCell ref="E10:F10"/>
    <mergeCell ref="E11:F11"/>
    <mergeCell ref="G10:H10"/>
  </mergeCells>
  <conditionalFormatting sqref="D16:D70">
    <cfRule type="colorScale" priority="3">
      <colorScale>
        <cfvo type="min"/>
        <cfvo type="num" val="50"/>
        <cfvo type="max"/>
        <color rgb="FFFF3B30"/>
        <color rgb="FFFFCC00"/>
        <color rgb="FF34C759"/>
      </colorScale>
    </cfRule>
  </conditionalFormatting>
  <conditionalFormatting sqref="E16:E70">
    <cfRule type="containsText" dxfId="4" priority="1" operator="containsText" text="BREACHED">
      <formula>NOT(ISERROR(SEARCH("BREACHED",E16)))</formula>
    </cfRule>
    <cfRule type="containsText" dxfId="3" priority="2" operator="containsText" text="hrs">
      <formula>NOT(ISERROR(SEARCH("hrs",E16)))</formula>
    </cfRule>
  </conditionalFormatting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2C1D-C461-4DA3-94FA-2B2796617690}">
  <sheetPr>
    <tabColor rgb="FF0071E3"/>
    <pageSetUpPr fitToPage="1"/>
  </sheetPr>
  <dimension ref="A1:O18"/>
  <sheetViews>
    <sheetView topLeftCell="G1" zoomScale="66" workbookViewId="0">
      <selection activeCell="G30" sqref="G30"/>
    </sheetView>
  </sheetViews>
  <sheetFormatPr defaultRowHeight="14.4" x14ac:dyDescent="0.3"/>
  <cols>
    <col min="1" max="1" width="20.33203125" style="1" customWidth="1"/>
    <col min="2" max="2" width="17.5546875" style="1" customWidth="1"/>
    <col min="3" max="3" width="14.77734375" style="1" customWidth="1"/>
    <col min="4" max="5" width="13.88671875" style="1" customWidth="1"/>
    <col min="6" max="6" width="16.6640625" style="1" customWidth="1"/>
    <col min="7" max="7" width="15.77734375" style="1" customWidth="1"/>
    <col min="8" max="8" width="16.6640625" style="1" customWidth="1"/>
    <col min="9" max="10" width="18.5546875" style="1" customWidth="1"/>
    <col min="11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395</v>
      </c>
    </row>
    <row r="6" spans="1:15" x14ac:dyDescent="0.3">
      <c r="A6" s="16" t="s">
        <v>396</v>
      </c>
    </row>
    <row r="8" spans="1:15" ht="16.8" x14ac:dyDescent="0.4">
      <c r="A8" s="50" t="s">
        <v>397</v>
      </c>
    </row>
    <row r="10" spans="1:15" x14ac:dyDescent="0.3">
      <c r="A10" s="21" t="s">
        <v>9</v>
      </c>
      <c r="B10" s="21" t="s">
        <v>398</v>
      </c>
      <c r="C10" s="21" t="s">
        <v>369</v>
      </c>
      <c r="D10" s="21" t="s">
        <v>399</v>
      </c>
      <c r="E10" s="21" t="s">
        <v>400</v>
      </c>
      <c r="F10" s="21" t="s">
        <v>401</v>
      </c>
      <c r="G10" s="21" t="s">
        <v>402</v>
      </c>
      <c r="H10" s="21" t="s">
        <v>403</v>
      </c>
      <c r="I10" s="21" t="s">
        <v>404</v>
      </c>
      <c r="J10" s="21" t="s">
        <v>405</v>
      </c>
    </row>
    <row r="11" spans="1:15" x14ac:dyDescent="0.3">
      <c r="A11" s="53" t="s">
        <v>21</v>
      </c>
      <c r="B11" s="61">
        <f>COUNTIF(Shipments[Carrier],A11)</f>
        <v>29</v>
      </c>
      <c r="C11" s="62">
        <f>IFERROR(COUNTIFS(Shipments[Carrier],A11,Shipments[OnTimeStatus],"On Time")/COUNTIF(Shipments[Carrier],A11),0)</f>
        <v>0.13793103448275862</v>
      </c>
      <c r="D11" s="61">
        <f>COUNTIFS(Shipments[Carrier],A11,Shipments[OnTimeStatus],"Late")</f>
        <v>25</v>
      </c>
      <c r="E11" s="62">
        <f>IFERROR(COUNTIFS(Shipments[Carrier],A11,Shipments[Damage Flag],"Yes")/COUNTIF(Shipments[Carrier],A11),0)</f>
        <v>0.10344827586206896</v>
      </c>
      <c r="F11" s="63">
        <f>AVERAGEIF(Shipments[Carrier],A11,Shipments[RiskScoreCalc])</f>
        <v>109.44137931034483</v>
      </c>
      <c r="G11" s="64">
        <f>AVERAGEIF(Shipments[Carrier],A11,Shipments[CO₂ Estimate (kg)])</f>
        <v>441.81724137931025</v>
      </c>
      <c r="H11" s="63">
        <f>AVERAGEIF(Shipments[Carrier],A11,Shipments[GreenEfficiencyIndex])</f>
        <v>28.137931034482758</v>
      </c>
      <c r="I11" s="62">
        <f>_xlfn.XLOOKUP(A11,CarrierRef[Carrier],CarrierRef[BaseOnTime],"N/A")</f>
        <v>0.94</v>
      </c>
      <c r="J11" s="65">
        <f>C11-I11</f>
        <v>-0.80206896551724127</v>
      </c>
    </row>
    <row r="12" spans="1:15" x14ac:dyDescent="0.3">
      <c r="A12" s="59" t="s">
        <v>26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5" x14ac:dyDescent="0.3">
      <c r="A13" s="17" t="s">
        <v>40</v>
      </c>
      <c r="B13" s="5"/>
      <c r="C13" s="5"/>
      <c r="D13" s="5"/>
      <c r="E13" s="5"/>
      <c r="F13" s="5"/>
      <c r="G13" s="5"/>
      <c r="H13" s="5"/>
      <c r="I13" s="5"/>
      <c r="J13" s="5"/>
    </row>
    <row r="14" spans="1:15" x14ac:dyDescent="0.3">
      <c r="A14" s="60" t="s">
        <v>34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5" x14ac:dyDescent="0.3">
      <c r="A15" s="24" t="s">
        <v>45</v>
      </c>
      <c r="B15" s="5"/>
      <c r="C15" s="5"/>
      <c r="D15" s="5"/>
      <c r="E15" s="5"/>
      <c r="F15" s="5"/>
      <c r="G15" s="5"/>
      <c r="H15" s="5"/>
      <c r="I15" s="5"/>
      <c r="J15" s="5"/>
    </row>
    <row r="16" spans="1:15" x14ac:dyDescent="0.3">
      <c r="A16" s="60" t="s">
        <v>50</v>
      </c>
      <c r="B16" s="44"/>
      <c r="C16" s="44"/>
      <c r="D16" s="44"/>
      <c r="E16" s="44"/>
      <c r="F16" s="44"/>
      <c r="G16" s="44"/>
      <c r="H16" s="44"/>
      <c r="I16" s="44"/>
      <c r="J16" s="44"/>
    </row>
    <row r="17" spans="1:10" x14ac:dyDescent="0.3">
      <c r="A17" s="21" t="s">
        <v>9</v>
      </c>
      <c r="B17" s="21" t="s">
        <v>398</v>
      </c>
      <c r="C17" s="21" t="s">
        <v>369</v>
      </c>
      <c r="D17" s="21" t="s">
        <v>399</v>
      </c>
      <c r="E17" s="21" t="s">
        <v>400</v>
      </c>
      <c r="F17" s="21" t="s">
        <v>401</v>
      </c>
      <c r="G17" s="21" t="s">
        <v>402</v>
      </c>
      <c r="H17" s="21" t="s">
        <v>403</v>
      </c>
      <c r="I17" s="21" t="s">
        <v>404</v>
      </c>
      <c r="J17" s="21" t="s">
        <v>405</v>
      </c>
    </row>
    <row r="18" spans="1:10" x14ac:dyDescent="0.3">
      <c r="A18" s="53" t="s">
        <v>21</v>
      </c>
      <c r="B18" s="54">
        <f>COUNTIF(Shipments[Carrier],A18)</f>
        <v>29</v>
      </c>
      <c r="C18" s="55">
        <f>IFERROR(COUNTIFS(Shipments[Carrier],A18,Shipments[OnTimeStatus],"On Time")/COUNTIF(Shipments[Carrier],A18),0)</f>
        <v>0.13793103448275862</v>
      </c>
      <c r="D18" s="54">
        <f>COUNTIFS(Shipments[Carrier],A18,Shipments[OnTimeStatus],"Late")</f>
        <v>25</v>
      </c>
      <c r="E18" s="55">
        <f>IFERROR(COUNTIFS(Shipments[Carrier],A18,Shipments[Damage Flag],"Yes")/COUNTIF(Shipments[Carrier],A18),0)</f>
        <v>0.10344827586206896</v>
      </c>
      <c r="F18" s="56">
        <f>AVERAGEIF(Shipments[Carrier],A18,Shipments[RiskScoreCalc])</f>
        <v>109.44137931034483</v>
      </c>
      <c r="G18" s="57">
        <f>AVERAGEIF(Shipments[Carrier],A18,Shipments[CO₂ Estimate (kg)])</f>
        <v>441.81724137931025</v>
      </c>
      <c r="H18" s="56">
        <f>AVERAGEIF(Shipments[Carrier],A18,Shipments[GreenEfficiencyIndex])</f>
        <v>28.137931034482758</v>
      </c>
      <c r="I18" s="55">
        <f>_xlfn.XLOOKUP(A18,CarrierRef[Carrier],CarrierRef[BaseOnTime],"N/A")</f>
        <v>0.94</v>
      </c>
      <c r="J18" s="58">
        <f>C18-I18</f>
        <v>-0.80206896551724127</v>
      </c>
    </row>
  </sheetData>
  <sheetProtection sheet="1" objects="1" scenarios="1" sort="0" autoFilter="0" pivotTables="0"/>
  <mergeCells count="3">
    <mergeCell ref="A1:N1"/>
    <mergeCell ref="A2:N2"/>
    <mergeCell ref="A3:N3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ACAD-1D8A-4785-A0A0-1D0AB960A776}">
  <sheetPr>
    <tabColor rgb="FF0071E3"/>
    <pageSetUpPr fitToPage="1"/>
  </sheetPr>
  <dimension ref="A1:O45"/>
  <sheetViews>
    <sheetView zoomScale="59" workbookViewId="0">
      <selection activeCell="Y19" sqref="Y19"/>
    </sheetView>
  </sheetViews>
  <sheetFormatPr defaultRowHeight="14.4" x14ac:dyDescent="0.3"/>
  <cols>
    <col min="1" max="1" width="25.88671875" style="1" customWidth="1"/>
    <col min="2" max="2" width="13" style="1" customWidth="1"/>
    <col min="3" max="3" width="14.77734375" style="1" customWidth="1"/>
    <col min="4" max="4" width="16.6640625" style="1" customWidth="1"/>
    <col min="5" max="5" width="14.77734375" style="1" customWidth="1"/>
    <col min="6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406</v>
      </c>
    </row>
    <row r="6" spans="1:15" x14ac:dyDescent="0.3">
      <c r="A6" s="16" t="s">
        <v>407</v>
      </c>
    </row>
    <row r="8" spans="1:15" ht="16.8" x14ac:dyDescent="0.4">
      <c r="A8" s="50" t="s">
        <v>408</v>
      </c>
    </row>
    <row r="10" spans="1:15" ht="22.05" customHeight="1" x14ac:dyDescent="0.3">
      <c r="A10" s="126" t="s">
        <v>409</v>
      </c>
      <c r="B10" s="127"/>
      <c r="C10" s="130" t="s">
        <v>357</v>
      </c>
      <c r="D10" s="127"/>
    </row>
    <row r="11" spans="1:15" ht="40.049999999999997" customHeight="1" x14ac:dyDescent="0.75">
      <c r="A11" s="163">
        <f>COUNTIF(Shipments[Damage Flag],"Yes")</f>
        <v>15</v>
      </c>
      <c r="B11" s="132"/>
      <c r="C11" s="153">
        <f>COUNTIF(Shipments[Damage Flag],"Yes")/COUNTA(Shipments[Shipment ID])</f>
        <v>0.1</v>
      </c>
      <c r="D11" s="154"/>
    </row>
    <row r="13" spans="1:15" ht="16.8" x14ac:dyDescent="0.4">
      <c r="A13" s="50" t="s">
        <v>410</v>
      </c>
    </row>
    <row r="15" spans="1:15" x14ac:dyDescent="0.3">
      <c r="A15" s="21" t="s">
        <v>14</v>
      </c>
      <c r="B15" s="21" t="s">
        <v>365</v>
      </c>
      <c r="C15" s="21" t="s">
        <v>366</v>
      </c>
      <c r="D15" s="21" t="s">
        <v>411</v>
      </c>
    </row>
    <row r="16" spans="1:15" x14ac:dyDescent="0.3">
      <c r="A16" s="47" t="s">
        <v>120</v>
      </c>
      <c r="B16" s="61">
        <f>COUNTIF(Shipments[Damage Reason],A16)</f>
        <v>4</v>
      </c>
      <c r="C16" s="62">
        <f>B16/SUM($B$16:$B$21)</f>
        <v>0.26666666666666666</v>
      </c>
      <c r="D16" s="62">
        <f>C16</f>
        <v>0.26666666666666666</v>
      </c>
    </row>
    <row r="17" spans="1:5" x14ac:dyDescent="0.3">
      <c r="A17" s="44" t="s">
        <v>85</v>
      </c>
      <c r="B17" s="68">
        <f>COUNTIF(Shipments[Damage Reason],A17)</f>
        <v>3</v>
      </c>
      <c r="C17" s="69">
        <f>B17/SUM($B$16:$B$21)</f>
        <v>0.2</v>
      </c>
      <c r="D17" s="69">
        <f>D16+C17</f>
        <v>0.46666666666666667</v>
      </c>
    </row>
    <row r="18" spans="1:5" x14ac:dyDescent="0.3">
      <c r="A18" s="47" t="s">
        <v>53</v>
      </c>
      <c r="B18" s="61">
        <f>COUNTIF(Shipments[Damage Reason],A18)</f>
        <v>3</v>
      </c>
      <c r="C18" s="62">
        <f>B18/SUM($B$16:$B$21)</f>
        <v>0.2</v>
      </c>
      <c r="D18" s="62">
        <f>D17+C18</f>
        <v>0.66666666666666674</v>
      </c>
    </row>
    <row r="19" spans="1:5" x14ac:dyDescent="0.3">
      <c r="A19" s="44" t="s">
        <v>157</v>
      </c>
      <c r="B19" s="68">
        <f>COUNTIF(Shipments[Damage Reason],A19)</f>
        <v>2</v>
      </c>
      <c r="C19" s="69">
        <f>B19/SUM($B$16:$B$21)</f>
        <v>0.13333333333333333</v>
      </c>
      <c r="D19" s="69">
        <f>D18+C19</f>
        <v>0.8</v>
      </c>
    </row>
    <row r="20" spans="1:5" x14ac:dyDescent="0.3">
      <c r="A20" s="47" t="s">
        <v>143</v>
      </c>
      <c r="B20" s="61">
        <f>COUNTIF(Shipments[Damage Reason],A20)</f>
        <v>1</v>
      </c>
      <c r="C20" s="62">
        <f>B20/SUM($B$16:$B$21)</f>
        <v>6.6666666666666666E-2</v>
      </c>
      <c r="D20" s="62">
        <f>D19+C20</f>
        <v>0.8666666666666667</v>
      </c>
    </row>
    <row r="21" spans="1:5" x14ac:dyDescent="0.3">
      <c r="A21" s="44" t="s">
        <v>412</v>
      </c>
      <c r="B21" s="68">
        <f>COUNTIF(Shipments[Damage Flag],"Yes")-SUM(B16:B20)</f>
        <v>2</v>
      </c>
      <c r="C21" s="69">
        <f>IFERROR(B21/SUM($B$16:$B$21),0)</f>
        <v>0.13333333333333333</v>
      </c>
      <c r="D21" s="69">
        <f>D20+C21</f>
        <v>1</v>
      </c>
    </row>
    <row r="23" spans="1:5" ht="16.8" x14ac:dyDescent="0.4">
      <c r="A23" s="50" t="s">
        <v>413</v>
      </c>
    </row>
    <row r="25" spans="1:5" x14ac:dyDescent="0.3">
      <c r="A25" s="21" t="s">
        <v>0</v>
      </c>
      <c r="B25" s="21" t="s">
        <v>1</v>
      </c>
      <c r="C25" s="21" t="s">
        <v>9</v>
      </c>
      <c r="D25" s="21" t="s">
        <v>14</v>
      </c>
      <c r="E25" s="21" t="s">
        <v>16</v>
      </c>
    </row>
    <row r="26" spans="1:5" x14ac:dyDescent="0.3">
      <c r="A26" s="47" t="str" cm="1">
        <f t="array" ref="A26:A40">IFERROR(_xlfn._xlws.FILTER(Shipments[Shipment ID], Shipments[Damage Flag]="Yes", "No damaged shipments"),"No damaged shipments")</f>
        <v>SH-20260410-1009</v>
      </c>
      <c r="B26" s="47" t="str" cm="1">
        <f t="array" ref="B26:B40">IFERROR(_xlfn._xlws.FILTER(Shipments[Origin], Shipments[Damage Flag]="Yes", ""),"")</f>
        <v>Compal</v>
      </c>
      <c r="C26" s="47" t="str" cm="1">
        <f t="array" ref="C26:C40">IFERROR(_xlfn._xlws.FILTER(Shipments[Carrier], Shipments[Damage Flag]="Yes", ""),"")</f>
        <v>Maersk</v>
      </c>
      <c r="D26" s="47" t="str" cm="1">
        <f t="array" ref="D26:D40">IFERROR(_xlfn._xlws.FILTER(Shipments[Damage Reason], Shipments[Damage Flag]="Yes", ""),"")</f>
        <v>Label Issue</v>
      </c>
      <c r="E26" s="49" cm="1">
        <f t="array" ref="E26:E40">IFERROR(_xlfn._xlws.FILTER(Shipments[RiskScoreCalc], Shipments[Damage Flag]="Yes", ""),"")</f>
        <v>135</v>
      </c>
    </row>
    <row r="27" spans="1:5" x14ac:dyDescent="0.3">
      <c r="A27" s="47" t="str">
        <v>SH-20260425-1024</v>
      </c>
      <c r="B27" s="47" t="str">
        <v>Compal</v>
      </c>
      <c r="C27" s="47" t="str">
        <v>FedEx</v>
      </c>
      <c r="D27" s="47" t="str">
        <v>Handling Error</v>
      </c>
      <c r="E27" s="47">
        <v>143.80000000000001</v>
      </c>
    </row>
    <row r="28" spans="1:5" x14ac:dyDescent="0.3">
      <c r="A28" s="47" t="str">
        <v>SH-20260401-1030</v>
      </c>
      <c r="B28" s="47" t="str">
        <v>Luxshare</v>
      </c>
      <c r="C28" s="47" t="str">
        <v>Maersk</v>
      </c>
      <c r="D28" s="47">
        <v>0</v>
      </c>
      <c r="E28" s="47">
        <v>135</v>
      </c>
    </row>
    <row r="29" spans="1:5" x14ac:dyDescent="0.3">
      <c r="A29" s="47" t="str">
        <v>SH-20260411-1040</v>
      </c>
      <c r="B29" s="47" t="str">
        <v>Compal</v>
      </c>
      <c r="C29" s="47" t="str">
        <v>DHL</v>
      </c>
      <c r="D29" s="47" t="str">
        <v>Transit Shock</v>
      </c>
      <c r="E29" s="47">
        <v>135</v>
      </c>
    </row>
    <row r="30" spans="1:5" x14ac:dyDescent="0.3">
      <c r="A30" s="47" t="str">
        <v>SH-20260421-1050</v>
      </c>
      <c r="B30" s="47" t="str">
        <v>Compal</v>
      </c>
      <c r="C30" s="47" t="str">
        <v>Maersk</v>
      </c>
      <c r="D30" s="47" t="str">
        <v>Packaging Damage</v>
      </c>
      <c r="E30" s="47">
        <v>167.8</v>
      </c>
    </row>
    <row r="31" spans="1:5" x14ac:dyDescent="0.3">
      <c r="A31" s="47" t="str">
        <v>SH-20260427-1056</v>
      </c>
      <c r="B31" s="47" t="str">
        <v>BYD</v>
      </c>
      <c r="C31" s="47" t="str">
        <v>Kuehne+Nagel</v>
      </c>
      <c r="D31" s="47" t="str">
        <v>Water Damage</v>
      </c>
      <c r="E31" s="47">
        <v>135</v>
      </c>
    </row>
    <row r="32" spans="1:5" x14ac:dyDescent="0.3">
      <c r="A32" s="47" t="str">
        <v>SH-20260430-1059</v>
      </c>
      <c r="B32" s="47" t="str">
        <v>BYD</v>
      </c>
      <c r="C32" s="47" t="str">
        <v>FedEx</v>
      </c>
      <c r="D32" s="47" t="str">
        <v>Handling Error</v>
      </c>
      <c r="E32" s="47">
        <v>135</v>
      </c>
    </row>
    <row r="33" spans="1:5" x14ac:dyDescent="0.3">
      <c r="A33" s="47" t="str">
        <v>SH-20260413-1072</v>
      </c>
      <c r="B33" s="47" t="str">
        <v>Luxshare</v>
      </c>
      <c r="C33" s="47" t="str">
        <v>DHL</v>
      </c>
      <c r="D33" s="47" t="str">
        <v>Transit Shock</v>
      </c>
      <c r="E33" s="47">
        <v>135</v>
      </c>
    </row>
    <row r="34" spans="1:5" x14ac:dyDescent="0.3">
      <c r="A34" s="47" t="str">
        <v>SH-20260423-1082</v>
      </c>
      <c r="B34" s="47" t="str">
        <v>Pegatron</v>
      </c>
      <c r="C34" s="47" t="str">
        <v>Maersk</v>
      </c>
      <c r="D34" s="47" t="str">
        <v>Label Issue</v>
      </c>
      <c r="E34" s="47">
        <v>135</v>
      </c>
    </row>
    <row r="35" spans="1:5" x14ac:dyDescent="0.3">
      <c r="A35" s="47" t="str">
        <v>SH-20260424-1083</v>
      </c>
      <c r="B35" s="47" t="str">
        <v>Wistron</v>
      </c>
      <c r="C35" s="47" t="str">
        <v>Maersk</v>
      </c>
      <c r="D35" s="47" t="str">
        <v>Label Issue</v>
      </c>
      <c r="E35" s="47">
        <v>146.19999999999999</v>
      </c>
    </row>
    <row r="36" spans="1:5" x14ac:dyDescent="0.3">
      <c r="A36" s="47" t="str">
        <v>SH-20260406-1125</v>
      </c>
      <c r="B36" s="47" t="str">
        <v>Compal</v>
      </c>
      <c r="C36" s="47" t="str">
        <v>FedEx</v>
      </c>
      <c r="D36" s="47" t="str">
        <v>Handling Error</v>
      </c>
      <c r="E36" s="47">
        <v>135</v>
      </c>
    </row>
    <row r="37" spans="1:5" x14ac:dyDescent="0.3">
      <c r="A37" s="47" t="str">
        <v>SH-20260410-1129</v>
      </c>
      <c r="B37" s="47" t="str">
        <v>Compal</v>
      </c>
      <c r="C37" s="47" t="str">
        <v>DHL</v>
      </c>
      <c r="D37" s="47" t="str">
        <v>Transit Shock</v>
      </c>
      <c r="E37" s="47">
        <v>155</v>
      </c>
    </row>
    <row r="38" spans="1:5" x14ac:dyDescent="0.3">
      <c r="A38" s="47" t="str">
        <v>SH-20260411-1130</v>
      </c>
      <c r="B38" s="47" t="str">
        <v>BYD</v>
      </c>
      <c r="C38" s="47" t="str">
        <v>DB Schenker</v>
      </c>
      <c r="D38" s="47" t="str">
        <v>Water Damage</v>
      </c>
      <c r="E38" s="47">
        <v>135</v>
      </c>
    </row>
    <row r="39" spans="1:5" x14ac:dyDescent="0.3">
      <c r="A39" s="47" t="str">
        <v>SH-20260418-1137</v>
      </c>
      <c r="B39" s="47" t="str">
        <v>Luxshare</v>
      </c>
      <c r="C39" s="47" t="str">
        <v>FedEx</v>
      </c>
      <c r="D39" s="47" t="str">
        <v>Transit Shock</v>
      </c>
      <c r="E39" s="47">
        <v>150.19999999999999</v>
      </c>
    </row>
    <row r="40" spans="1:5" x14ac:dyDescent="0.3">
      <c r="A40" s="47" t="str">
        <v>SH-20260430-1149</v>
      </c>
      <c r="B40" s="47" t="str">
        <v>Pegatron</v>
      </c>
      <c r="C40" s="47" t="str">
        <v>Kuehne+Nagel</v>
      </c>
      <c r="D40" s="47">
        <v>0</v>
      </c>
      <c r="E40" s="47">
        <v>135</v>
      </c>
    </row>
    <row r="41" spans="1:5" x14ac:dyDescent="0.3">
      <c r="A41" s="47"/>
      <c r="B41" s="47"/>
      <c r="C41" s="47"/>
      <c r="D41" s="47"/>
      <c r="E41" s="47"/>
    </row>
    <row r="42" spans="1:5" x14ac:dyDescent="0.3">
      <c r="A42" s="47"/>
      <c r="B42" s="47"/>
      <c r="C42" s="47"/>
      <c r="D42" s="47"/>
      <c r="E42" s="47"/>
    </row>
    <row r="43" spans="1:5" x14ac:dyDescent="0.3">
      <c r="A43" s="47"/>
      <c r="B43" s="47"/>
      <c r="C43" s="47"/>
      <c r="D43" s="47"/>
      <c r="E43" s="47"/>
    </row>
    <row r="44" spans="1:5" x14ac:dyDescent="0.3">
      <c r="A44" s="47"/>
      <c r="B44" s="47"/>
      <c r="C44" s="47"/>
      <c r="D44" s="47"/>
      <c r="E44" s="47"/>
    </row>
    <row r="45" spans="1:5" x14ac:dyDescent="0.3">
      <c r="A45" s="47"/>
      <c r="B45" s="47"/>
      <c r="C45" s="47"/>
      <c r="D45" s="47"/>
      <c r="E45" s="47"/>
    </row>
  </sheetData>
  <sheetProtection sheet="1" objects="1" scenarios="1" sort="0" autoFilter="0" pivotTables="0"/>
  <mergeCells count="7">
    <mergeCell ref="A1:N1"/>
    <mergeCell ref="A2:N2"/>
    <mergeCell ref="A3:N3"/>
    <mergeCell ref="A10:B10"/>
    <mergeCell ref="A11:B11"/>
    <mergeCell ref="C10:D10"/>
    <mergeCell ref="C11:D11"/>
  </mergeCells>
  <pageMargins left="0.7" right="0.7" top="0.75" bottom="0.75" header="0.3" footer="0.3"/>
  <pageSetup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C93D-A867-43CE-ABA8-B0F88997D176}">
  <sheetPr>
    <tabColor rgb="FF0071E3"/>
    <pageSetUpPr fitToPage="1"/>
  </sheetPr>
  <dimension ref="A1:O39"/>
  <sheetViews>
    <sheetView zoomScale="65" workbookViewId="0">
      <selection activeCell="C23" sqref="C23"/>
    </sheetView>
  </sheetViews>
  <sheetFormatPr defaultRowHeight="14.4" x14ac:dyDescent="0.3"/>
  <cols>
    <col min="1" max="1" width="22.21875" style="1" customWidth="1"/>
    <col min="2" max="2" width="17.5546875" style="1" customWidth="1"/>
    <col min="3" max="3" width="15.77734375" style="1" customWidth="1"/>
    <col min="4" max="4" width="18.5546875" style="1" customWidth="1"/>
    <col min="5" max="5" width="16.6640625" style="1" customWidth="1"/>
    <col min="6" max="6" width="18.5546875" style="1" customWidth="1"/>
    <col min="7" max="16384" width="8.88671875" style="1"/>
  </cols>
  <sheetData>
    <row r="1" spans="1:15" ht="49.95" customHeight="1" x14ac:dyDescent="0.3">
      <c r="A1" s="122" t="s">
        <v>350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0"/>
    </row>
    <row r="2" spans="1:15" ht="25.05" customHeight="1" x14ac:dyDescent="0.3">
      <c r="A2" s="124" t="s">
        <v>351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0"/>
    </row>
    <row r="3" spans="1:15" ht="22.05" customHeight="1" x14ac:dyDescent="0.3">
      <c r="A3" s="125" t="str">
        <f ca="1">"          Report Date: "&amp;TEXT(TODAY(),"dd MMM yyyy")</f>
        <v xml:space="preserve">          Report Date: 17 Apr 2026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0"/>
    </row>
    <row r="4" spans="1:15" ht="7.95" customHeight="1" x14ac:dyDescent="0.3"/>
    <row r="5" spans="1:15" ht="19.8" x14ac:dyDescent="0.45">
      <c r="A5" s="15" t="s">
        <v>414</v>
      </c>
    </row>
    <row r="6" spans="1:15" x14ac:dyDescent="0.3">
      <c r="A6" s="16" t="s">
        <v>415</v>
      </c>
    </row>
    <row r="8" spans="1:15" ht="16.8" x14ac:dyDescent="0.4">
      <c r="A8" s="50" t="s">
        <v>416</v>
      </c>
    </row>
    <row r="10" spans="1:15" ht="22.05" customHeight="1" x14ac:dyDescent="0.3">
      <c r="A10" s="126" t="s">
        <v>358</v>
      </c>
      <c r="B10" s="127"/>
      <c r="C10" s="130" t="s">
        <v>417</v>
      </c>
      <c r="D10" s="127"/>
      <c r="E10" s="130" t="s">
        <v>403</v>
      </c>
      <c r="F10" s="127"/>
    </row>
    <row r="11" spans="1:15" ht="40.049999999999997" customHeight="1" x14ac:dyDescent="0.75">
      <c r="A11" s="155">
        <f>SUM(Shipments[CO₂ Estimate (kg)])</f>
        <v>63028.500000000022</v>
      </c>
      <c r="B11" s="157"/>
      <c r="C11" s="156">
        <f>AVERAGE(Shipments[CO₂ Estimate (kg)])</f>
        <v>420.19000000000017</v>
      </c>
      <c r="D11" s="157"/>
      <c r="E11" s="150">
        <f>AVERAGE(Shipments[GreenEfficiencyIndex])</f>
        <v>30.093333333333334</v>
      </c>
      <c r="F11" s="151"/>
    </row>
    <row r="13" spans="1:15" ht="16.8" x14ac:dyDescent="0.4">
      <c r="A13" s="50" t="s">
        <v>418</v>
      </c>
    </row>
    <row r="15" spans="1:15" x14ac:dyDescent="0.3">
      <c r="A15" s="21" t="s">
        <v>9</v>
      </c>
      <c r="B15" s="21" t="s">
        <v>358</v>
      </c>
      <c r="C15" s="21" t="s">
        <v>402</v>
      </c>
      <c r="D15" s="21" t="s">
        <v>419</v>
      </c>
      <c r="E15" s="21" t="s">
        <v>403</v>
      </c>
      <c r="F15" s="21" t="s">
        <v>420</v>
      </c>
    </row>
    <row r="16" spans="1:15" x14ac:dyDescent="0.3">
      <c r="A16" s="47" t="s">
        <v>21</v>
      </c>
      <c r="B16" s="57">
        <f>SUMIF(Shipments[Carrier],A16,Shipments[CO₂ Estimate (kg)])</f>
        <v>12812.699999999997</v>
      </c>
      <c r="C16" s="57">
        <f>AVERAGEIF(Shipments[Carrier],A16,Shipments[CO₂ Estimate (kg)])</f>
        <v>441.81724137931025</v>
      </c>
      <c r="D16" s="54">
        <f>_xlfn.XLOOKUP(A16,CarrierRef[Carrier],CarrierRef[BaseGreenScore],"N/A")</f>
        <v>82</v>
      </c>
      <c r="E16" s="56">
        <f>AVERAGEIF(Shipments[Carrier],A16,Shipments[GreenEfficiencyIndex])</f>
        <v>28.137931034482758</v>
      </c>
      <c r="F16" s="55">
        <f t="shared" ref="F16:F21" si="0">B16/SUM($B$16:$B$21)</f>
        <v>0.20328422856326894</v>
      </c>
    </row>
    <row r="17" spans="1:6" x14ac:dyDescent="0.3">
      <c r="A17" s="59" t="s">
        <v>26</v>
      </c>
      <c r="B17" s="77">
        <f>SUMIF(Shipments[Carrier],A17,Shipments[CO₂ Estimate (kg)])</f>
        <v>10126</v>
      </c>
      <c r="C17" s="77">
        <f>AVERAGEIF(Shipments[Carrier],A17,Shipments[CO₂ Estimate (kg)])</f>
        <v>440.26086956521738</v>
      </c>
      <c r="D17" s="66">
        <f>_xlfn.XLOOKUP(A17,CarrierRef[Carrier],CarrierRef[BaseGreenScore],"N/A")</f>
        <v>76</v>
      </c>
      <c r="E17" s="92">
        <f>AVERAGEIF(Shipments[Carrier],A17,Shipments[GreenEfficiencyIndex])</f>
        <v>29.260869565217391</v>
      </c>
      <c r="F17" s="67">
        <f t="shared" si="0"/>
        <v>0.16065748034619259</v>
      </c>
    </row>
    <row r="18" spans="1:6" x14ac:dyDescent="0.3">
      <c r="A18" s="19" t="s">
        <v>40</v>
      </c>
      <c r="B18" s="57">
        <f>SUMIF(Shipments[Carrier],A18,Shipments[CO₂ Estimate (kg)])</f>
        <v>11807.400000000001</v>
      </c>
      <c r="C18" s="57">
        <f>AVERAGEIF(Shipments[Carrier],A18,Shipments[CO₂ Estimate (kg)])</f>
        <v>407.15172413793107</v>
      </c>
      <c r="D18" s="54">
        <f>_xlfn.XLOOKUP(A18,CarrierRef[Carrier],CarrierRef[BaseGreenScore],"N/A")</f>
        <v>79</v>
      </c>
      <c r="E18" s="56">
        <f>AVERAGEIF(Shipments[Carrier],A18,Shipments[GreenEfficiencyIndex])</f>
        <v>30.448275862068964</v>
      </c>
      <c r="F18" s="55">
        <f t="shared" si="0"/>
        <v>0.18733430114948002</v>
      </c>
    </row>
    <row r="19" spans="1:6" x14ac:dyDescent="0.3">
      <c r="A19" s="44" t="s">
        <v>34</v>
      </c>
      <c r="B19" s="77">
        <f>SUMIF(Shipments[Carrier],A19,Shipments[CO₂ Estimate (kg)])</f>
        <v>8418.9</v>
      </c>
      <c r="C19" s="77">
        <f>AVERAGEIF(Shipments[Carrier],A19,Shipments[CO₂ Estimate (kg)])</f>
        <v>443.09999999999997</v>
      </c>
      <c r="D19" s="66">
        <f>_xlfn.XLOOKUP(A19,CarrierRef[Carrier],CarrierRef[BaseGreenScore],"N/A")</f>
        <v>85</v>
      </c>
      <c r="E19" s="92">
        <f>AVERAGEIF(Shipments[Carrier],A19,Shipments[GreenEfficiencyIndex])</f>
        <v>29.842105263157894</v>
      </c>
      <c r="F19" s="67">
        <f t="shared" si="0"/>
        <v>0.13357290749422879</v>
      </c>
    </row>
    <row r="20" spans="1:6" x14ac:dyDescent="0.3">
      <c r="A20" s="24" t="s">
        <v>45</v>
      </c>
      <c r="B20" s="57">
        <f>SUMIF(Shipments[Carrier],A20,Shipments[CO₂ Estimate (kg)])</f>
        <v>10713.099999999999</v>
      </c>
      <c r="C20" s="57">
        <f>AVERAGEIF(Shipments[Carrier],A20,Shipments[CO₂ Estimate (kg)])</f>
        <v>412.04230769230765</v>
      </c>
      <c r="D20" s="54">
        <f>_xlfn.XLOOKUP(A20,CarrierRef[Carrier],CarrierRef[BaseGreenScore],"N/A")</f>
        <v>88</v>
      </c>
      <c r="E20" s="56">
        <f>AVERAGEIF(Shipments[Carrier],A20,Shipments[GreenEfficiencyIndex])</f>
        <v>31.115384615384617</v>
      </c>
      <c r="F20" s="55">
        <f t="shared" si="0"/>
        <v>0.16997231411187</v>
      </c>
    </row>
    <row r="21" spans="1:6" x14ac:dyDescent="0.3">
      <c r="A21" s="44" t="s">
        <v>50</v>
      </c>
      <c r="B21" s="77">
        <f>SUMIF(Shipments[Carrier],A21,Shipments[CO₂ Estimate (kg)])</f>
        <v>9150.4</v>
      </c>
      <c r="C21" s="77">
        <f>AVERAGEIF(Shipments[Carrier],A21,Shipments[CO₂ Estimate (kg)])</f>
        <v>381.26666666666665</v>
      </c>
      <c r="D21" s="66">
        <f>_xlfn.XLOOKUP(A21,CarrierRef[Carrier],CarrierRef[BaseGreenScore],"N/A")</f>
        <v>90</v>
      </c>
      <c r="E21" s="92">
        <f>AVERAGEIF(Shipments[Carrier],A21,Shipments[GreenEfficiencyIndex])</f>
        <v>31.916666666666668</v>
      </c>
      <c r="F21" s="67">
        <f t="shared" si="0"/>
        <v>0.14517876833495957</v>
      </c>
    </row>
    <row r="22" spans="1:6" x14ac:dyDescent="0.3">
      <c r="A22" s="18" t="s">
        <v>358</v>
      </c>
      <c r="C22" s="18" t="s">
        <v>417</v>
      </c>
      <c r="E22" s="18" t="s">
        <v>403</v>
      </c>
    </row>
    <row r="23" spans="1:6" ht="34.799999999999997" x14ac:dyDescent="0.75">
      <c r="A23" s="72" t="s">
        <v>421</v>
      </c>
      <c r="C23" s="70">
        <f>AVERAGE(Shipments[CO₂ Estimate (kg)])</f>
        <v>420.19000000000017</v>
      </c>
      <c r="E23" s="71">
        <f>AVERAGE(Shipments[GreenEfficiencyIndex])</f>
        <v>30.093333333333334</v>
      </c>
    </row>
    <row r="24" spans="1:6" x14ac:dyDescent="0.3">
      <c r="A24" s="16" t="s">
        <v>422</v>
      </c>
    </row>
    <row r="25" spans="1:6" ht="16.8" x14ac:dyDescent="0.4">
      <c r="A25" s="50" t="s">
        <v>418</v>
      </c>
    </row>
    <row r="26" spans="1:6" x14ac:dyDescent="0.3">
      <c r="A26" s="21" t="s">
        <v>9</v>
      </c>
      <c r="B26" s="21" t="s">
        <v>423</v>
      </c>
      <c r="C26" s="21" t="s">
        <v>424</v>
      </c>
      <c r="D26" s="21" t="s">
        <v>425</v>
      </c>
      <c r="E26" s="21" t="s">
        <v>426</v>
      </c>
    </row>
    <row r="27" spans="1:6" x14ac:dyDescent="0.3">
      <c r="A27" s="73" t="s">
        <v>21</v>
      </c>
      <c r="B27" s="74">
        <f t="shared" ref="B27:B32" si="1">B16</f>
        <v>12812.699999999997</v>
      </c>
      <c r="C27" s="75">
        <v>0.1</v>
      </c>
      <c r="D27" s="74">
        <f t="shared" ref="D27:D32" si="2">B27*(1-C27)</f>
        <v>11531.429999999998</v>
      </c>
      <c r="E27" s="76">
        <f t="shared" ref="E27:E32" si="3">B27-D27</f>
        <v>1281.2699999999986</v>
      </c>
      <c r="F27" s="21" t="s">
        <v>420</v>
      </c>
    </row>
    <row r="28" spans="1:6" x14ac:dyDescent="0.3">
      <c r="A28" s="44" t="s">
        <v>26</v>
      </c>
      <c r="B28" s="77">
        <f t="shared" si="1"/>
        <v>10126</v>
      </c>
      <c r="C28" s="78">
        <v>0.1</v>
      </c>
      <c r="D28" s="77">
        <f t="shared" si="2"/>
        <v>9113.4</v>
      </c>
      <c r="E28" s="79">
        <f t="shared" si="3"/>
        <v>1012.6000000000004</v>
      </c>
      <c r="F28" s="55">
        <f>B28/SUM($B$16:$B$21)</f>
        <v>0.16065748034619259</v>
      </c>
    </row>
    <row r="29" spans="1:6" x14ac:dyDescent="0.3">
      <c r="A29" s="47" t="s">
        <v>40</v>
      </c>
      <c r="B29" s="57">
        <f t="shared" si="1"/>
        <v>11807.400000000001</v>
      </c>
      <c r="C29" s="78">
        <v>0.1</v>
      </c>
      <c r="D29" s="57">
        <f t="shared" si="2"/>
        <v>10626.660000000002</v>
      </c>
      <c r="E29" s="80">
        <f t="shared" si="3"/>
        <v>1180.7399999999998</v>
      </c>
    </row>
    <row r="30" spans="1:6" x14ac:dyDescent="0.3">
      <c r="A30" s="44" t="s">
        <v>34</v>
      </c>
      <c r="B30" s="77">
        <f t="shared" si="1"/>
        <v>8418.9</v>
      </c>
      <c r="C30" s="78">
        <v>0.15</v>
      </c>
      <c r="D30" s="77">
        <f t="shared" si="2"/>
        <v>7156.0649999999996</v>
      </c>
      <c r="E30" s="79">
        <f t="shared" si="3"/>
        <v>1262.835</v>
      </c>
    </row>
    <row r="31" spans="1:6" x14ac:dyDescent="0.3">
      <c r="A31" s="47" t="s">
        <v>45</v>
      </c>
      <c r="B31" s="57">
        <f t="shared" si="1"/>
        <v>10713.099999999999</v>
      </c>
      <c r="C31" s="78">
        <v>0.15</v>
      </c>
      <c r="D31" s="57">
        <f t="shared" si="2"/>
        <v>9106.1349999999984</v>
      </c>
      <c r="E31" s="80">
        <f t="shared" si="3"/>
        <v>1606.9650000000001</v>
      </c>
    </row>
    <row r="32" spans="1:6" x14ac:dyDescent="0.3">
      <c r="A32" s="44" t="s">
        <v>50</v>
      </c>
      <c r="B32" s="77">
        <f t="shared" si="1"/>
        <v>9150.4</v>
      </c>
      <c r="C32" s="78">
        <v>0.2</v>
      </c>
      <c r="D32" s="77">
        <f t="shared" si="2"/>
        <v>7320.32</v>
      </c>
      <c r="E32" s="79">
        <f t="shared" si="3"/>
        <v>1830.08</v>
      </c>
    </row>
    <row r="34" spans="1:3" ht="16.8" x14ac:dyDescent="0.4">
      <c r="A34" s="50" t="s">
        <v>427</v>
      </c>
    </row>
    <row r="36" spans="1:3" ht="15" x14ac:dyDescent="0.35">
      <c r="A36" s="82" t="s">
        <v>428</v>
      </c>
      <c r="B36" s="83">
        <f>SUM(B27:B32)</f>
        <v>63028.5</v>
      </c>
      <c r="C36" s="85" t="s">
        <v>429</v>
      </c>
    </row>
    <row r="37" spans="1:3" ht="15" x14ac:dyDescent="0.35">
      <c r="A37" s="81" t="s">
        <v>430</v>
      </c>
      <c r="B37" s="86">
        <f>SUM(D27:D32)</f>
        <v>54854.01</v>
      </c>
      <c r="C37" s="84" t="s">
        <v>429</v>
      </c>
    </row>
    <row r="38" spans="1:3" ht="15" x14ac:dyDescent="0.35">
      <c r="A38" s="88" t="s">
        <v>431</v>
      </c>
      <c r="B38" s="89">
        <f>SUM(E27:E32)</f>
        <v>8174.4899999999989</v>
      </c>
      <c r="C38" s="90" t="s">
        <v>429</v>
      </c>
    </row>
    <row r="39" spans="1:3" ht="15" x14ac:dyDescent="0.35">
      <c r="A39" s="87" t="s">
        <v>424</v>
      </c>
      <c r="B39" s="91">
        <f>B38/B36</f>
        <v>0.12969513791380088</v>
      </c>
    </row>
  </sheetData>
  <sheetProtection sheet="1" objects="1" scenarios="1" sort="0" autoFilter="0" pivotTables="0"/>
  <mergeCells count="9">
    <mergeCell ref="A1:N1"/>
    <mergeCell ref="A2:N2"/>
    <mergeCell ref="A3:N3"/>
    <mergeCell ref="A10:B10"/>
    <mergeCell ref="A11:B11"/>
    <mergeCell ref="C10:D10"/>
    <mergeCell ref="C11:D11"/>
    <mergeCell ref="E10:F10"/>
    <mergeCell ref="E11:F11"/>
  </mergeCells>
  <pageMargins left="0.7" right="0.7" top="0.75" bottom="0.75" header="0.3" footer="0.3"/>
  <pageSetup scale="4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DA30-6914-4EF5-88D8-825C40238812}">
  <sheetPr>
    <tabColor rgb="FF0071E3"/>
    <pageSetUpPr fitToPage="1"/>
  </sheetPr>
  <dimension ref="A1:N54"/>
  <sheetViews>
    <sheetView zoomScale="73" workbookViewId="0">
      <selection activeCell="D18" sqref="D18"/>
    </sheetView>
  </sheetViews>
  <sheetFormatPr defaultRowHeight="14.4" x14ac:dyDescent="0.3"/>
  <cols>
    <col min="1" max="1" width="28.6640625" style="1" customWidth="1"/>
    <col min="2" max="4" width="18.5546875" style="1" customWidth="1"/>
    <col min="5" max="5" width="14.77734375" style="1" customWidth="1"/>
    <col min="6" max="6" width="16.6640625" style="1" customWidth="1"/>
    <col min="7" max="7" width="14.77734375" style="1" customWidth="1"/>
    <col min="8" max="16384" width="8.88671875" style="1"/>
  </cols>
  <sheetData>
    <row r="1" spans="1:14" ht="49.95" customHeight="1" x14ac:dyDescent="0.3">
      <c r="A1" s="122" t="s">
        <v>350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</row>
    <row r="2" spans="1:14" ht="25.05" customHeight="1" x14ac:dyDescent="0.3">
      <c r="A2" s="124" t="s">
        <v>351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22.05" customHeight="1" x14ac:dyDescent="0.3">
      <c r="A3" s="125" t="str">
        <f ca="1">"          Report Date: "&amp;TEXT(TODAY(),"dd MMM yyyy")</f>
        <v xml:space="preserve">          Report Date: 17 Apr 2026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4" ht="7.95" customHeight="1" x14ac:dyDescent="0.3"/>
    <row r="5" spans="1:14" ht="19.8" x14ac:dyDescent="0.45">
      <c r="A5" s="15" t="s">
        <v>432</v>
      </c>
    </row>
    <row r="6" spans="1:14" x14ac:dyDescent="0.3">
      <c r="A6" s="16" t="s">
        <v>433</v>
      </c>
    </row>
    <row r="8" spans="1:14" ht="19.2" x14ac:dyDescent="0.45">
      <c r="A8" s="20" t="s">
        <v>434</v>
      </c>
    </row>
    <row r="9" spans="1:14" x14ac:dyDescent="0.3">
      <c r="A9" s="16" t="str">
        <f ca="1">"Report generated: "&amp;TEXT(TODAY(),"dd MMM yyyy")</f>
        <v>Report generated: 17 Apr 2026</v>
      </c>
    </row>
    <row r="11" spans="1:14" ht="15" x14ac:dyDescent="0.35">
      <c r="A11" s="111" t="s">
        <v>435</v>
      </c>
      <c r="B11" s="112"/>
      <c r="C11" s="112"/>
      <c r="D11" s="112"/>
    </row>
    <row r="12" spans="1:14" x14ac:dyDescent="0.3">
      <c r="A12" s="47" t="s">
        <v>398</v>
      </c>
      <c r="B12" s="93">
        <f>COUNTA(Shipments[Shipment ID])</f>
        <v>150</v>
      </c>
      <c r="C12" s="47" t="s">
        <v>436</v>
      </c>
      <c r="D12" s="94">
        <f>COUNTIFS(Shipments[OnTimeStatus],"On Time")/COUNTA(Shipments[Shipment ID])</f>
        <v>0.17333333333333334</v>
      </c>
    </row>
    <row r="13" spans="1:14" x14ac:dyDescent="0.3">
      <c r="A13" s="44" t="s">
        <v>20</v>
      </c>
      <c r="B13" s="95">
        <f>COUNTIF(Shipments[Status],"Delivered")</f>
        <v>140</v>
      </c>
      <c r="C13" s="44" t="s">
        <v>437</v>
      </c>
      <c r="D13" s="96">
        <f>COUNTIFS(Shipments[OnTimeStatus],"Late")/COUNTA(Shipments[Shipment ID])</f>
        <v>0.76</v>
      </c>
    </row>
    <row r="14" spans="1:14" x14ac:dyDescent="0.3">
      <c r="A14" s="47" t="s">
        <v>93</v>
      </c>
      <c r="B14" s="93">
        <f>COUNTIF(Shipments[Status],"In Transit")</f>
        <v>2</v>
      </c>
      <c r="C14" s="47" t="s">
        <v>438</v>
      </c>
      <c r="D14" s="94">
        <f>COUNTIFS(Shipments[OnTimeStatus],"Pending")/COUNTA(Shipments[Shipment ID])</f>
        <v>6.6666666666666666E-2</v>
      </c>
    </row>
    <row r="15" spans="1:14" x14ac:dyDescent="0.3">
      <c r="A15" s="44" t="s">
        <v>439</v>
      </c>
      <c r="B15" s="97">
        <f>COUNTIF(Shipments[Status],"Delayed")+COUNTIF(Shipments[Status],"Exception")</f>
        <v>3</v>
      </c>
      <c r="C15" s="44" t="s">
        <v>440</v>
      </c>
      <c r="D15" s="98">
        <f ca="1">IFERROR(AVERAGE(Shipments[DaysToETA]),"N/A")</f>
        <v>-15.466666666666667</v>
      </c>
    </row>
    <row r="17" spans="1:7" ht="15" x14ac:dyDescent="0.35">
      <c r="A17" s="111" t="s">
        <v>441</v>
      </c>
      <c r="B17" s="112"/>
      <c r="C17" s="112"/>
      <c r="D17" s="112"/>
    </row>
    <row r="18" spans="1:7" x14ac:dyDescent="0.3">
      <c r="A18" s="47" t="s">
        <v>442</v>
      </c>
      <c r="B18" s="99">
        <f>AVERAGE(Shipments[RiskScoreCalc])</f>
        <v>108.76</v>
      </c>
      <c r="C18" s="47" t="s">
        <v>443</v>
      </c>
      <c r="D18" s="100">
        <f>COUNTIF(Shipments[RiskScoreCalc],"&gt;70")</f>
        <v>150</v>
      </c>
    </row>
    <row r="19" spans="1:7" x14ac:dyDescent="0.3">
      <c r="A19" s="44" t="s">
        <v>357</v>
      </c>
      <c r="B19" s="101">
        <f>COUNTIF(Shipments[Damage Flag],"Yes")/COUNTA(Shipments[Shipment ID])</f>
        <v>0.1</v>
      </c>
      <c r="C19" s="44" t="s">
        <v>409</v>
      </c>
      <c r="D19" s="97">
        <f>COUNTIF(Shipments[Damage Flag],"Yes")</f>
        <v>15</v>
      </c>
    </row>
    <row r="20" spans="1:7" x14ac:dyDescent="0.3">
      <c r="A20" s="47" t="s">
        <v>360</v>
      </c>
      <c r="B20" s="102">
        <f>COUNTIF(Shipments[Final Mile SLA (hours)],"&lt;0")/COUNTA(Shipments[Shipment ID])</f>
        <v>0.27333333333333332</v>
      </c>
      <c r="C20" s="47" t="s">
        <v>444</v>
      </c>
      <c r="D20" s="100">
        <f>COUNTIF(Shipments[Final Mile SLA (hours)],"&lt;0")</f>
        <v>41</v>
      </c>
    </row>
    <row r="22" spans="1:7" ht="15" x14ac:dyDescent="0.35">
      <c r="A22" s="111" t="s">
        <v>445</v>
      </c>
      <c r="B22" s="112"/>
      <c r="C22" s="112"/>
      <c r="D22" s="112"/>
    </row>
    <row r="23" spans="1:7" x14ac:dyDescent="0.3">
      <c r="A23" s="47" t="s">
        <v>446</v>
      </c>
      <c r="B23" s="94">
        <f>COUNTIF(Shipments[AllocationCompliance],"Compliant")/COUNTA(Shipments[Shipment ID])</f>
        <v>0.51333333333333331</v>
      </c>
      <c r="C23" s="47" t="s">
        <v>381</v>
      </c>
      <c r="D23" s="100">
        <f>COUNTIF(Shipments[AllocationCompliance],"Liability Risk")</f>
        <v>73</v>
      </c>
    </row>
    <row r="24" spans="1:7" x14ac:dyDescent="0.3">
      <c r="A24" s="44" t="s">
        <v>447</v>
      </c>
      <c r="B24" s="103">
        <f>SUM(Shipments[CO₂ Estimate (kg)])</f>
        <v>63028.500000000022</v>
      </c>
      <c r="C24" s="44" t="s">
        <v>403</v>
      </c>
      <c r="D24" s="98">
        <f>AVERAGE(Shipments[GreenEfficiencyIndex])</f>
        <v>30.093333333333334</v>
      </c>
    </row>
    <row r="25" spans="1:7" x14ac:dyDescent="0.3">
      <c r="A25" s="47" t="s">
        <v>448</v>
      </c>
      <c r="B25" s="104">
        <f>AVERAGE(Shipments[CO₂ Estimate (kg)])</f>
        <v>420.19000000000017</v>
      </c>
      <c r="C25" s="47" t="s">
        <v>449</v>
      </c>
      <c r="D25" s="105" t="str">
        <f>INDEX(CarrierRef[Carrier],MATCH(MAX(CarrierRef[BaseGreenScore]),CarrierRef[BaseGreenScore],0))</f>
        <v>Maersk</v>
      </c>
    </row>
    <row r="27" spans="1:7" ht="15" x14ac:dyDescent="0.35">
      <c r="A27" s="4" t="s">
        <v>450</v>
      </c>
      <c r="B27" s="14"/>
      <c r="C27" s="14"/>
      <c r="D27" s="14"/>
      <c r="E27" s="14"/>
      <c r="F27" s="14"/>
      <c r="G27" s="14"/>
    </row>
    <row r="28" spans="1:7" x14ac:dyDescent="0.3">
      <c r="A28" s="106" t="s">
        <v>9</v>
      </c>
      <c r="B28" s="107" t="s">
        <v>451</v>
      </c>
      <c r="C28" s="107" t="s">
        <v>369</v>
      </c>
      <c r="D28" s="107" t="s">
        <v>400</v>
      </c>
      <c r="E28" s="107" t="s">
        <v>370</v>
      </c>
      <c r="F28" s="107" t="s">
        <v>452</v>
      </c>
      <c r="G28" s="107" t="s">
        <v>453</v>
      </c>
    </row>
    <row r="29" spans="1:7" x14ac:dyDescent="0.3">
      <c r="A29" s="53" t="s">
        <v>21</v>
      </c>
      <c r="B29" s="61">
        <f>COUNTIF(Shipments[Carrier],A29)</f>
        <v>29</v>
      </c>
      <c r="C29" s="62">
        <f>IFERROR(COUNTIFS(Shipments[Carrier],A29,Shipments[OnTimeStatus],"On Time")/COUNTIF(Shipments[Carrier],A29),0)</f>
        <v>0.13793103448275862</v>
      </c>
      <c r="D29" s="62">
        <f>IFERROR(COUNTIFS(Shipments[Carrier],A29,Shipments[Damage Flag],"Yes")/COUNTIF(Shipments[Carrier],A29),0)</f>
        <v>0.10344827586206896</v>
      </c>
      <c r="E29" s="63">
        <f>AVERAGEIF(Shipments[Carrier],A29,Shipments[RiskScoreCalc])</f>
        <v>109.44137931034483</v>
      </c>
      <c r="F29" s="64">
        <f>AVERAGEIF(Shipments[Carrier],A29,Shipments[CO₂ Estimate (kg)])</f>
        <v>441.81724137931025</v>
      </c>
      <c r="G29" s="110" t="str">
        <f>IF(C29&gt;0.3,"GOOD",IF(C29&gt;0.15,"FAIR","POOR"))</f>
        <v>POOR</v>
      </c>
    </row>
    <row r="30" spans="1:7" x14ac:dyDescent="0.3">
      <c r="A30" s="59" t="s">
        <v>26</v>
      </c>
      <c r="B30" s="44"/>
      <c r="C30" s="44"/>
      <c r="D30" s="44"/>
      <c r="E30" s="44"/>
      <c r="F30" s="44"/>
      <c r="G30" s="44"/>
    </row>
    <row r="31" spans="1:7" x14ac:dyDescent="0.3">
      <c r="A31" s="17" t="s">
        <v>40</v>
      </c>
      <c r="B31" s="47"/>
      <c r="C31" s="47"/>
      <c r="D31" s="47"/>
      <c r="E31" s="47"/>
      <c r="F31" s="47"/>
      <c r="G31" s="47"/>
    </row>
    <row r="32" spans="1:7" x14ac:dyDescent="0.3">
      <c r="A32" s="60" t="s">
        <v>34</v>
      </c>
      <c r="B32" s="44"/>
      <c r="C32" s="44"/>
      <c r="D32" s="44"/>
      <c r="E32" s="44"/>
      <c r="F32" s="44"/>
      <c r="G32" s="44"/>
    </row>
    <row r="33" spans="1:7" x14ac:dyDescent="0.3">
      <c r="A33" s="24" t="s">
        <v>45</v>
      </c>
      <c r="B33" s="47"/>
      <c r="C33" s="47"/>
      <c r="D33" s="47"/>
      <c r="E33" s="47"/>
      <c r="F33" s="47"/>
      <c r="G33" s="47"/>
    </row>
    <row r="34" spans="1:7" x14ac:dyDescent="0.3">
      <c r="A34" s="109" t="s">
        <v>50</v>
      </c>
      <c r="B34" s="44"/>
      <c r="C34" s="44"/>
      <c r="D34" s="44"/>
      <c r="E34" s="44"/>
      <c r="F34" s="44"/>
      <c r="G34" s="44"/>
    </row>
    <row r="36" spans="1:7" ht="15" x14ac:dyDescent="0.35">
      <c r="A36" s="113" t="s">
        <v>454</v>
      </c>
      <c r="B36" s="114"/>
      <c r="C36" s="114"/>
      <c r="D36" s="14"/>
    </row>
    <row r="37" spans="1:7" x14ac:dyDescent="0.3">
      <c r="A37" s="19" t="s">
        <v>455</v>
      </c>
      <c r="B37" s="93">
        <f>COUNTA(Shipments[Shipment ID])</f>
        <v>150</v>
      </c>
      <c r="C37" s="47" t="s">
        <v>436</v>
      </c>
      <c r="D37" s="94">
        <f>COUNTIFS(Shipments[OnTimeStatus],"On Time")/COUNTA(Shipments[Shipment ID])</f>
        <v>0.17333333333333334</v>
      </c>
    </row>
    <row r="38" spans="1:7" x14ac:dyDescent="0.3">
      <c r="A38" s="115" t="s">
        <v>456</v>
      </c>
      <c r="B38" s="95">
        <f>COUNTIF(Shipments[Status],"Delivered")</f>
        <v>140</v>
      </c>
      <c r="C38" s="44" t="s">
        <v>437</v>
      </c>
      <c r="D38" s="96">
        <f>COUNTIFS(Shipments[OnTimeStatus],"Late")/COUNTA(Shipments[Shipment ID])</f>
        <v>0.76</v>
      </c>
    </row>
    <row r="39" spans="1:7" x14ac:dyDescent="0.3">
      <c r="A39" s="116" t="s">
        <v>457</v>
      </c>
      <c r="B39" s="93">
        <f>COUNTIF(Shipments[Status],"In Transit")</f>
        <v>2</v>
      </c>
      <c r="C39" s="47" t="s">
        <v>438</v>
      </c>
      <c r="D39" s="94">
        <f>COUNTIFS(Shipments[OnTimeStatus],"Pending")/COUNTA(Shipments[Shipment ID])</f>
        <v>6.6666666666666666E-2</v>
      </c>
    </row>
    <row r="40" spans="1:7" x14ac:dyDescent="0.3">
      <c r="A40" s="115" t="s">
        <v>458</v>
      </c>
      <c r="B40" s="97">
        <f>COUNTIF(Shipments[Status],"Delayed")+COUNTIF(Shipments[Status],"Exception")</f>
        <v>3</v>
      </c>
      <c r="C40" s="44" t="s">
        <v>440</v>
      </c>
      <c r="D40" s="98">
        <f ca="1">IFERROR(AVERAGE(Shipments[DaysToETA]),"N/A")</f>
        <v>-15.466666666666667</v>
      </c>
    </row>
    <row r="41" spans="1:7" x14ac:dyDescent="0.3">
      <c r="A41" s="117" t="s">
        <v>459</v>
      </c>
    </row>
    <row r="42" spans="1:7" x14ac:dyDescent="0.3">
      <c r="A42" s="118" t="s">
        <v>460</v>
      </c>
      <c r="B42" s="14"/>
      <c r="C42" s="14"/>
      <c r="D42" s="14"/>
    </row>
    <row r="43" spans="1:7" x14ac:dyDescent="0.3">
      <c r="A43" s="116" t="s">
        <v>461</v>
      </c>
      <c r="B43" s="99">
        <f>AVERAGE(Shipments[RiskScoreCalc])</f>
        <v>108.76</v>
      </c>
      <c r="C43" s="47" t="s">
        <v>443</v>
      </c>
      <c r="D43" s="100">
        <f>COUNTIF(Shipments[RiskScoreCalc],"&gt;70")</f>
        <v>150</v>
      </c>
    </row>
    <row r="44" spans="1:7" x14ac:dyDescent="0.3">
      <c r="A44" s="115" t="s">
        <v>462</v>
      </c>
      <c r="B44" s="101">
        <f>COUNTIF(Shipments[Damage Flag],"Yes")/COUNTA(Shipments[Shipment ID])</f>
        <v>0.1</v>
      </c>
      <c r="C44" s="44" t="s">
        <v>409</v>
      </c>
      <c r="D44" s="97">
        <f>COUNTIF(Shipments[Damage Flag],"Yes")</f>
        <v>15</v>
      </c>
    </row>
    <row r="45" spans="1:7" x14ac:dyDescent="0.3">
      <c r="A45" s="116" t="s">
        <v>463</v>
      </c>
      <c r="B45" s="102">
        <f>COUNTIF(Shipments[Final Mile SLA (hours)],"&lt;0")/COUNTA(Shipments[Shipment ID])</f>
        <v>0.27333333333333332</v>
      </c>
      <c r="C45" s="47" t="s">
        <v>444</v>
      </c>
      <c r="D45" s="100">
        <f>COUNTIF(Shipments[Final Mile SLA (hours)],"&lt;0")</f>
        <v>41</v>
      </c>
    </row>
    <row r="46" spans="1:7" x14ac:dyDescent="0.3">
      <c r="A46" s="117" t="s">
        <v>464</v>
      </c>
    </row>
    <row r="47" spans="1:7" ht="15" x14ac:dyDescent="0.35">
      <c r="A47" s="4" t="s">
        <v>445</v>
      </c>
      <c r="B47" s="14"/>
      <c r="C47" s="14"/>
      <c r="D47" s="14"/>
    </row>
    <row r="48" spans="1:7" x14ac:dyDescent="0.3">
      <c r="A48" s="119" t="s">
        <v>465</v>
      </c>
      <c r="B48" s="94">
        <f>COUNTIF(Shipments[AllocationCompliance],"Compliant")/COUNTA(Shipments[Shipment ID])</f>
        <v>0.51333333333333331</v>
      </c>
      <c r="C48" s="47" t="s">
        <v>381</v>
      </c>
      <c r="D48" s="100">
        <f>COUNTIF(Shipments[AllocationCompliance],"Liability Risk")</f>
        <v>73</v>
      </c>
    </row>
    <row r="49" spans="1:7" x14ac:dyDescent="0.3">
      <c r="A49" s="44" t="s">
        <v>447</v>
      </c>
      <c r="B49" s="103">
        <f>SUM(Shipments[CO₂ Estimate (kg)])</f>
        <v>63028.500000000022</v>
      </c>
      <c r="C49" s="44" t="s">
        <v>403</v>
      </c>
      <c r="D49" s="98">
        <f>AVERAGE(Shipments[GreenEfficiencyIndex])</f>
        <v>30.093333333333334</v>
      </c>
    </row>
    <row r="50" spans="1:7" x14ac:dyDescent="0.3">
      <c r="A50" s="47" t="s">
        <v>448</v>
      </c>
      <c r="B50" s="104">
        <f>AVERAGE(Shipments[CO₂ Estimate (kg)])</f>
        <v>420.19000000000017</v>
      </c>
      <c r="C50" s="47" t="s">
        <v>449</v>
      </c>
      <c r="D50" s="105" t="str">
        <f>INDEX(CarrierRef[Carrier],MATCH(MAX(CarrierRef[BaseGreenScore]),CarrierRef[BaseGreenScore],0))</f>
        <v>Maersk</v>
      </c>
    </row>
    <row r="52" spans="1:7" ht="15" x14ac:dyDescent="0.35">
      <c r="A52" s="4" t="s">
        <v>450</v>
      </c>
      <c r="B52" s="14"/>
      <c r="C52" s="14"/>
      <c r="D52" s="14"/>
      <c r="E52" s="14"/>
      <c r="F52" s="14"/>
      <c r="G52" s="14"/>
    </row>
    <row r="53" spans="1:7" x14ac:dyDescent="0.3">
      <c r="A53" s="106" t="s">
        <v>9</v>
      </c>
      <c r="B53" s="107" t="s">
        <v>451</v>
      </c>
      <c r="C53" s="107" t="s">
        <v>369</v>
      </c>
      <c r="D53" s="107" t="s">
        <v>400</v>
      </c>
      <c r="E53" s="107" t="s">
        <v>370</v>
      </c>
      <c r="F53" s="107" t="s">
        <v>452</v>
      </c>
      <c r="G53" s="107" t="s">
        <v>453</v>
      </c>
    </row>
    <row r="54" spans="1:7" x14ac:dyDescent="0.3">
      <c r="A54" s="53" t="s">
        <v>21</v>
      </c>
      <c r="B54" s="54">
        <f>COUNTIF(Shipments[Carrier],A54)</f>
        <v>29</v>
      </c>
      <c r="C54" s="55">
        <f>IFERROR(COUNTIFS(Shipments[Carrier],A54,Shipments[OnTimeStatus],"On Time")/COUNTIF(Shipments[Carrier],A54),0)</f>
        <v>0.13793103448275862</v>
      </c>
      <c r="D54" s="55">
        <f>IFERROR(COUNTIFS(Shipments[Carrier],A54,Shipments[Damage Flag],"Yes")/COUNTIF(Shipments[Carrier],A54),0)</f>
        <v>0.10344827586206896</v>
      </c>
      <c r="E54" s="56">
        <f>AVERAGEIF(Shipments[Carrier],A54,Shipments[RiskScoreCalc])</f>
        <v>109.44137931034483</v>
      </c>
      <c r="F54" s="57">
        <f>AVERAGEIF(Shipments[Carrier],A54,Shipments[CO₂ Estimate (kg)])</f>
        <v>441.81724137931025</v>
      </c>
      <c r="G54" s="108" t="str">
        <f>IF(C54&gt;0.3,"GOOD",IF(C54&gt;0.15,"FAIR","POOR"))</f>
        <v>POOR</v>
      </c>
    </row>
  </sheetData>
  <sheetProtection sheet="1" objects="1" scenarios="1" sort="0" autoFilter="0" pivotTables="0"/>
  <mergeCells count="3">
    <mergeCell ref="A1:N1"/>
    <mergeCell ref="A2:N2"/>
    <mergeCell ref="A3:N3"/>
  </mergeCells>
  <conditionalFormatting sqref="G29:G34">
    <cfRule type="containsText" dxfId="2" priority="1" operator="containsText" text="GOOD">
      <formula>NOT(ISERROR(SEARCH("GOOD",G29)))</formula>
    </cfRule>
    <cfRule type="containsText" dxfId="1" priority="2" operator="containsText" text="FAIR">
      <formula>NOT(ISERROR(SEARCH("FAIR",G29)))</formula>
    </cfRule>
    <cfRule type="containsText" dxfId="0" priority="3" operator="containsText" text="POOR">
      <formula>NOT(ISERROR(SEARCH("POOR",G29)))</formula>
    </cfRule>
  </conditionalFormatting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Shipments Tracker</vt:lpstr>
      <vt:lpstr>Origin Execution</vt:lpstr>
      <vt:lpstr>Destination Management</vt:lpstr>
      <vt:lpstr>Final Mile &amp; Escalations</vt:lpstr>
      <vt:lpstr>Carrier Performance</vt:lpstr>
      <vt:lpstr>Quality &amp; Loss Damage</vt:lpstr>
      <vt:lpstr>Green Efficiency</vt:lpstr>
      <vt:lpstr>Reports &amp;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Kaif Ahmed</dc:creator>
  <cp:lastModifiedBy>Mohammed Kaif Ahmed</cp:lastModifiedBy>
  <cp:lastPrinted>2026-04-16T21:21:28Z</cp:lastPrinted>
  <dcterms:created xsi:type="dcterms:W3CDTF">2026-04-16T20:34:04Z</dcterms:created>
  <dcterms:modified xsi:type="dcterms:W3CDTF">2026-04-16T21:31:48Z</dcterms:modified>
</cp:coreProperties>
</file>